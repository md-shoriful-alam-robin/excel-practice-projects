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122" documentId="11_E60897F41BE170836B02CE998F75CCDC64E183C8" xr6:coauthVersionLast="47" xr6:coauthVersionMax="47" xr10:uidLastSave="{39FFCA82-552E-4CCD-AC35-C54170C514D8}"/>
  <bookViews>
    <workbookView xWindow="240" yWindow="105" windowWidth="14805" windowHeight="8010" firstSheet="2" activeTab="2" xr2:uid="{00000000-000D-0000-FFFF-FFFF00000000}"/>
  </bookViews>
  <sheets>
    <sheet name="Sheet3" sheetId="3" r:id="rId1"/>
    <sheet name="Sheet2" sheetId="2" r:id="rId2"/>
    <sheet name="Sheet1" sheetId="1" r:id="rId3"/>
  </sheets>
  <calcPr calcId="191028"/>
  <pivotCaches>
    <pivotCache cacheId="4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<sst xmlns="http://schemas.openxmlformats.org/spreadsheetml/2006/main" count="428" uniqueCount="175">
  <si>
    <t>Sum of Revenue</t>
  </si>
  <si>
    <t>Year</t>
  </si>
  <si>
    <t>State</t>
  </si>
  <si>
    <t>2024 Total</t>
  </si>
  <si>
    <t>Grand Total</t>
  </si>
  <si>
    <t>Country</t>
  </si>
  <si>
    <t>Bangalore</t>
  </si>
  <si>
    <t>Barcelona</t>
  </si>
  <si>
    <t>Barisal</t>
  </si>
  <si>
    <t>Berlin</t>
  </si>
  <si>
    <t>Bilbao</t>
  </si>
  <si>
    <t>California</t>
  </si>
  <si>
    <t>Chennai</t>
  </si>
  <si>
    <t>Chittagong</t>
  </si>
  <si>
    <t>Cologne</t>
  </si>
  <si>
    <t>Delhi</t>
  </si>
  <si>
    <t>Dhaka</t>
  </si>
  <si>
    <t>Dusseldorf</t>
  </si>
  <si>
    <t>Florida</t>
  </si>
  <si>
    <t>Frankfurt</t>
  </si>
  <si>
    <t>Hamburg</t>
  </si>
  <si>
    <t>Hyderabad</t>
  </si>
  <si>
    <t>Illinois</t>
  </si>
  <si>
    <t>Khulna</t>
  </si>
  <si>
    <t>Kolkata</t>
  </si>
  <si>
    <t>Madrid</t>
  </si>
  <si>
    <t>Malaga</t>
  </si>
  <si>
    <t>Mumbai</t>
  </si>
  <si>
    <t>Munich</t>
  </si>
  <si>
    <t>Mymensingh</t>
  </si>
  <si>
    <t>Narayanganj</t>
  </si>
  <si>
    <t>New York</t>
  </si>
  <si>
    <t>Pune</t>
  </si>
  <si>
    <t>Rajshahi</t>
  </si>
  <si>
    <t>Rangpur</t>
  </si>
  <si>
    <t>Seville</t>
  </si>
  <si>
    <t>Stuttgart</t>
  </si>
  <si>
    <t>Sylhet</t>
  </si>
  <si>
    <t>Texas</t>
  </si>
  <si>
    <t>Valencia</t>
  </si>
  <si>
    <t>Washington</t>
  </si>
  <si>
    <t>Bangladesh</t>
  </si>
  <si>
    <t>Germany</t>
  </si>
  <si>
    <t>India</t>
  </si>
  <si>
    <t>Spain</t>
  </si>
  <si>
    <t>USA</t>
  </si>
  <si>
    <t>Revenue Per Country</t>
  </si>
  <si>
    <t>Sum of Cost</t>
  </si>
  <si>
    <t>Sum of Profit</t>
  </si>
  <si>
    <t>Date</t>
  </si>
  <si>
    <t xml:space="preserve">Day </t>
  </si>
  <si>
    <t>Month</t>
  </si>
  <si>
    <t>Customer_Name</t>
  </si>
  <si>
    <t>Age</t>
  </si>
  <si>
    <t>Age_Group</t>
  </si>
  <si>
    <t>Gender</t>
  </si>
  <si>
    <t>Product_Category</t>
  </si>
  <si>
    <t>Sub_Category</t>
  </si>
  <si>
    <t>Product</t>
  </si>
  <si>
    <t>Order_Quantity</t>
  </si>
  <si>
    <t>Unit_Cost</t>
  </si>
  <si>
    <t>Profit</t>
  </si>
  <si>
    <t>Cost</t>
  </si>
  <si>
    <t>Revenue</t>
  </si>
  <si>
    <t>Monday</t>
  </si>
  <si>
    <t>January</t>
  </si>
  <si>
    <t>Rajib Ahmed</t>
  </si>
  <si>
    <t>25-35</t>
  </si>
  <si>
    <t>Male</t>
  </si>
  <si>
    <t>Electronics</t>
  </si>
  <si>
    <t>Laptop</t>
  </si>
  <si>
    <t>Dell XPS 13</t>
  </si>
  <si>
    <t>Tuesday</t>
  </si>
  <si>
    <t>Fatima Khan</t>
  </si>
  <si>
    <t>35-45</t>
  </si>
  <si>
    <t>Female</t>
  </si>
  <si>
    <t>Clothing</t>
  </si>
  <si>
    <t>Shirts</t>
  </si>
  <si>
    <t>Cotton Polo</t>
  </si>
  <si>
    <t>Wednesday</t>
  </si>
  <si>
    <t>Karim Hassan</t>
  </si>
  <si>
    <t>Mobile</t>
  </si>
  <si>
    <t>iPhone 14</t>
  </si>
  <si>
    <t>Thursday</t>
  </si>
  <si>
    <t>Sarah Johnson</t>
  </si>
  <si>
    <t>Home</t>
  </si>
  <si>
    <t>Furniture</t>
  </si>
  <si>
    <t>Office Chair</t>
  </si>
  <si>
    <t>Friday</t>
  </si>
  <si>
    <t>Ahmed Khan</t>
  </si>
  <si>
    <t>45-55</t>
  </si>
  <si>
    <t>Books</t>
  </si>
  <si>
    <t>Technology</t>
  </si>
  <si>
    <t>Python Guide</t>
  </si>
  <si>
    <t>Saturday</t>
  </si>
  <si>
    <t>Shalini Das</t>
  </si>
  <si>
    <t>Dresses</t>
  </si>
  <si>
    <t>Summer Dress</t>
  </si>
  <si>
    <t>Sunday</t>
  </si>
  <si>
    <t>Maria Garcia</t>
  </si>
  <si>
    <t>Camera</t>
  </si>
  <si>
    <t>Canon EOS</t>
  </si>
  <si>
    <t>Hassan Ali</t>
  </si>
  <si>
    <t>Sports</t>
  </si>
  <si>
    <t>Shoes</t>
  </si>
  <si>
    <t>Nike Air</t>
  </si>
  <si>
    <t>Priya Singh</t>
  </si>
  <si>
    <t>Beauty</t>
  </si>
  <si>
    <t>Skincare</t>
  </si>
  <si>
    <t>Face Wash</t>
  </si>
  <si>
    <t>Tom Wilson</t>
  </si>
  <si>
    <t>Kitchen</t>
  </si>
  <si>
    <t>Microwave</t>
  </si>
  <si>
    <t>February</t>
  </si>
  <si>
    <t>Amira Hassan</t>
  </si>
  <si>
    <t>Tops</t>
  </si>
  <si>
    <t>T-Shirt</t>
  </si>
  <si>
    <t>s</t>
  </si>
  <si>
    <t>Ravi Kumar</t>
  </si>
  <si>
    <t>Headphone</t>
  </si>
  <si>
    <t>Sony WH</t>
  </si>
  <si>
    <t>Lisa Mueller</t>
  </si>
  <si>
    <t>Fiction</t>
  </si>
  <si>
    <t>Novel</t>
  </si>
  <si>
    <t>Juan Rodriguez</t>
  </si>
  <si>
    <t>Equipment</t>
  </si>
  <si>
    <t>Yoga Mat</t>
  </si>
  <si>
    <t>Zainab Ali</t>
  </si>
  <si>
    <t>Makeup</t>
  </si>
  <si>
    <t>Lipstick</t>
  </si>
  <si>
    <t>Michael Brown</t>
  </si>
  <si>
    <t>Tablet</t>
  </si>
  <si>
    <t>iPad Pro</t>
  </si>
  <si>
    <t>Neha Patel</t>
  </si>
  <si>
    <t>Pants</t>
  </si>
  <si>
    <t>Denim Jeans</t>
  </si>
  <si>
    <t>Klaus Weber</t>
  </si>
  <si>
    <t>Dining Table</t>
  </si>
  <si>
    <t>Sofia Rossi</t>
  </si>
  <si>
    <t>Moisturizer</t>
  </si>
  <si>
    <t>Rahim Khan</t>
  </si>
  <si>
    <t>Adidas</t>
  </si>
  <si>
    <t>Jennifer Lee</t>
  </si>
  <si>
    <t>GoPro</t>
  </si>
  <si>
    <t>Ananya Sharma</t>
  </si>
  <si>
    <t>Bedding</t>
  </si>
  <si>
    <t>Cotton Sheets</t>
  </si>
  <si>
    <t>Hans Mueller</t>
  </si>
  <si>
    <t>Non-Fiction</t>
  </si>
  <si>
    <t>Business Book</t>
  </si>
  <si>
    <t>Carlos Martinez</t>
  </si>
  <si>
    <t>Dumbbell Set</t>
  </si>
  <si>
    <t>Humaira Khan</t>
  </si>
  <si>
    <t>Party Dress</t>
  </si>
  <si>
    <t>March</t>
  </si>
  <si>
    <t>Robert Johnson</t>
  </si>
  <si>
    <t>MacBook Pro</t>
  </si>
  <si>
    <t>Deepika Singh</t>
  </si>
  <si>
    <t>Eye Shadow</t>
  </si>
  <si>
    <t>Anna Schmidt</t>
  </si>
  <si>
    <t>Blender</t>
  </si>
  <si>
    <t>Diego Lopez</t>
  </si>
  <si>
    <t>Formal Shoes</t>
  </si>
  <si>
    <t>Noor Abbas</t>
  </si>
  <si>
    <t>Samsung S24</t>
  </si>
  <si>
    <t>Emily Davis</t>
  </si>
  <si>
    <t>AI Basics</t>
  </si>
  <si>
    <t>Vikram Reddy</t>
  </si>
  <si>
    <t>Running Shoes</t>
  </si>
  <si>
    <t>Petra Bauer</t>
  </si>
  <si>
    <t>Blouse</t>
  </si>
  <si>
    <t>Miguel Torres</t>
  </si>
  <si>
    <t>Bookshelf</t>
  </si>
  <si>
    <t>Mariam Hassan</t>
  </si>
  <si>
    <t>Serum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</si>
</sst>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 val="double"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/>
    <xf numFmtId="14" fontId="1" fillId="2" borderId="0" xfId="0" applyNumberFormat="1" applyFont="1" applyFill="1" applyAlignment="1"/>
    <xf numFmtId="0" fontId="0" fillId="0" borderId="0" xfId="0" pivotButton="1"/>
    <xf numFmtId="10" fontId="0" fillId="0" borderId="0" xfId="0" applyNumberFormat="1"/>
    <xf numFmtId="164" fontId="0" fillId="0" borderId="0" xfId="0" applyNumberFormat="1"/>
    <xf numFmtId="164" fontId="0" fillId="0" borderId="0" xfId="0" pivotButton="1" applyNumberFormat="1"/>
    <xf numFmtId="165" fontId="0" fillId="0" borderId="0" xfId="0" applyNumberFormat="1"/>
    <xf numFmtId="164" fontId="2" fillId="0" borderId="0" xfId="0" applyNumberFormat="1" applyFont="1"/>
    <xf numFmtId="0" fontId="2" fillId="0" borderId="0" xfId="0" applyFont="1"/>
    <xf numFmtId="10" fontId="2" fillId="0" borderId="0" xfId="0" applyNumberFormat="1" applyFont="1"/>
    <xf numFmtId="0" fontId="0" fillId="0" borderId="0" xfId="0" applyNumberFormat="1"/>
    <xf numFmtId="0" fontId="3" fillId="3" borderId="0" xfId="0" applyFont="1" applyFill="1"/>
    <xf numFmtId="0" fontId="4" fillId="3" borderId="0" xfId="0" applyFont="1" applyFill="1" applyAlignment="1"/>
  </cellXfs>
  <cellStyles count="1">
    <cellStyle name="Normal" xfId="0" builtinId="0"/>
  </cellStyles>
  <dxfs count="13">
    <dxf>
      <numFmt numFmtId="164" formatCode="_([$€-2]\ * #,##0.00_);_([$€-2]\ * \(#,##0.00\);_([$€-2]\ * &quot;-&quot;??_);_(@_)"/>
    </dxf>
    <dxf>
      <numFmt numFmtId="164" formatCode="_([$€-2]\ * #,##0.00_);_([$€-2]\ * \(#,##0.00\);_([$€-2]\ * &quot;-&quot;??_);_(@_)"/>
    </dxf>
    <dxf>
      <numFmt numFmtId="165" formatCode="&quot;$&quot;#,##0.00"/>
    </dxf>
    <dxf>
      <numFmt numFmtId="164" formatCode="_([$€-2]\ * #,##0.00_);_([$€-2]\ * \(#,##0.00\);_([$€-2]\ * &quot;-&quot;??_);_(@_)"/>
    </dxf>
    <dxf>
      <numFmt numFmtId="164" formatCode="_([$€-2]\ * #,##0.00_);_([$€-2]\ * \(#,##0.00\);_([$€-2]\ * &quot;-&quot;??_);_(@_)"/>
    </dxf>
    <dxf>
      <font>
        <color theme="4"/>
      </font>
    </dxf>
    <dxf>
      <font>
        <color theme="4"/>
      </font>
    </dxf>
    <dxf>
      <font>
        <sz val="12"/>
      </font>
    </dxf>
    <dxf>
      <font>
        <sz val="12"/>
      </font>
    </dxf>
    <dxf>
      <font>
        <vertAlign val="baseline"/>
      </font>
    </dxf>
    <dxf>
      <font>
        <vertAlign val="baseline"/>
      </font>
    </dxf>
    <dxf>
      <font>
        <u val="double"/>
      </font>
    </dxf>
    <dxf>
      <font>
        <u val="doubl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0.463544212966" createdVersion="8" refreshedVersion="8" minRefreshableVersion="3" recordCount="35" xr:uid="{BA36F98B-31BB-4177-B922-965AC8C509A3}">
  <cacheSource type="worksheet">
    <worksheetSource ref="A1:S36" sheet="Sheet1"/>
  </cacheSource>
  <cacheFields count="19">
    <cacheField name="Date" numFmtId="14">
      <sharedItems containsSemiMixedTypes="0" containsNonDate="0" containsDate="1" containsString="0" minDate="2024-01-15T00:00:00" maxDate="2024-02-19T00:00:00"/>
    </cacheField>
    <cacheField name="Day " numFmtId="0">
      <sharedItems/>
    </cacheField>
    <cacheField name="Month" numFmtId="0">
      <sharedItems/>
    </cacheField>
    <cacheField name="Year" numFmtId="0">
      <sharedItems containsSemiMixedTypes="0" containsString="0" containsNumber="1" containsInteger="1" minValue="2024" maxValue="2024" count="1">
        <n v="2024"/>
      </sharedItems>
    </cacheField>
    <cacheField name="Customer_Name" numFmtId="0">
      <sharedItems/>
    </cacheField>
    <cacheField name="Age" numFmtId="0">
      <sharedItems containsSemiMixedTypes="0" containsString="0" containsNumber="1" containsInteger="1" minValue="25" maxValue="56"/>
    </cacheField>
    <cacheField name="Age_Group" numFmtId="0">
      <sharedItems/>
    </cacheField>
    <cacheField name="Gender" numFmtId="0">
      <sharedItems/>
    </cacheField>
    <cacheField name="Country" numFmtId="0">
      <sharedItems count="5">
        <s v="Bangladesh"/>
        <s v="Germany"/>
        <s v="USA"/>
        <s v="India"/>
        <s v="Spain"/>
      </sharedItems>
    </cacheField>
    <cacheField name="State" numFmtId="0">
      <sharedItems count="35">
        <s v="Dhaka"/>
        <s v="Chittagong"/>
        <s v="Berlin"/>
        <s v="New York"/>
        <s v="Sylhet"/>
        <s v="Mumbai"/>
        <s v="Madrid"/>
        <s v="Munich"/>
        <s v="Delhi"/>
        <s v="California"/>
        <s v="Khulna"/>
        <s v="Bangalore"/>
        <s v="Hamburg"/>
        <s v="Barcelona"/>
        <s v="Rajshahi"/>
        <s v="Texas"/>
        <s v="Hyderabad"/>
        <s v="Frankfurt"/>
        <s v="Valencia"/>
        <s v="Mymensingh"/>
        <s v="Florida"/>
        <s v="Kolkata"/>
        <s v="Cologne"/>
        <s v="Seville"/>
        <s v="Barisal"/>
        <s v="Illinois"/>
        <s v="Chennai"/>
        <s v="Stuttgart"/>
        <s v="Bilbao"/>
        <s v="Narayanganj"/>
        <s v="Washington"/>
        <s v="Pune"/>
        <s v="Dusseldorf"/>
        <s v="Malaga"/>
        <s v="Rangpur"/>
      </sharedItems>
    </cacheField>
    <cacheField name="Product_Category" numFmtId="0">
      <sharedItems/>
    </cacheField>
    <cacheField name="Sub_Category" numFmtId="0">
      <sharedItems/>
    </cacheField>
    <cacheField name="Product" numFmtId="0">
      <sharedItems/>
    </cacheField>
    <cacheField name="Order_Quantity" numFmtId="0">
      <sharedItems containsSemiMixedTypes="0" containsString="0" containsNumber="1" containsInteger="1" minValue="1" maxValue="25"/>
    </cacheField>
    <cacheField name="Unit_Cost" numFmtId="0">
      <sharedItems containsSemiMixedTypes="0" containsString="0" containsNumber="1" containsInteger="1" minValue="150" maxValue="120000"/>
    </cacheField>
    <cacheField name="Unit_Cost2" numFmtId="0">
      <sharedItems containsSemiMixedTypes="0" containsString="0" containsNumber="1" containsInteger="1" minValue="150" maxValue="120000"/>
    </cacheField>
    <cacheField name="Profit" numFmtId="0">
      <sharedItems containsSemiMixedTypes="0" containsString="0" containsNumber="1" containsInteger="1" minValue="1500" maxValue="50000"/>
    </cacheField>
    <cacheField name="Cost" numFmtId="0">
      <sharedItems containsSemiMixedTypes="0" containsString="0" containsNumber="1" containsInteger="1" minValue="2000" maxValue="210000"/>
    </cacheField>
    <cacheField name="Revenue" numFmtId="0">
      <sharedItems containsSemiMixedTypes="0" containsString="0" containsNumber="1" containsInteger="1" minValue="3500" maxValue="2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d v="2024-01-15T00:00:00"/>
    <s v="Monday"/>
    <s v="January"/>
    <x v="0"/>
    <s v="Rajib Ahmed"/>
    <n v="28"/>
    <s v="25-35"/>
    <s v="Male"/>
    <x v="0"/>
    <x v="0"/>
    <s v="Electronics"/>
    <s v="Laptop"/>
    <s v="Dell XPS 13"/>
    <n v="2"/>
    <n v="45000"/>
    <n v="45000"/>
    <n v="14000"/>
    <n v="90000"/>
    <n v="104000"/>
  </r>
  <r>
    <d v="2024-01-16T00:00:00"/>
    <s v="Tuesday"/>
    <s v="January"/>
    <x v="0"/>
    <s v="Fatima Khan"/>
    <n v="35"/>
    <s v="35-45"/>
    <s v="Female"/>
    <x v="0"/>
    <x v="1"/>
    <s v="Clothing"/>
    <s v="Shirts"/>
    <s v="Cotton Polo"/>
    <n v="5"/>
    <n v="800"/>
    <n v="800"/>
    <n v="2000"/>
    <n v="4000"/>
    <n v="6000"/>
  </r>
  <r>
    <d v="2024-01-17T00:00:00"/>
    <s v="Wednesday"/>
    <s v="January"/>
    <x v="0"/>
    <s v="Karim Hassan"/>
    <n v="42"/>
    <s v="35-45"/>
    <s v="Male"/>
    <x v="1"/>
    <x v="2"/>
    <s v="Electronics"/>
    <s v="Mobile"/>
    <s v="iPhone 14"/>
    <n v="3"/>
    <n v="70000"/>
    <n v="70000"/>
    <n v="45000"/>
    <n v="210000"/>
    <n v="255000"/>
  </r>
  <r>
    <d v="2024-01-18T00:00:00"/>
    <s v="Thursday"/>
    <s v="January"/>
    <x v="0"/>
    <s v="Sarah Johnson"/>
    <n v="29"/>
    <s v="25-35"/>
    <s v="Female"/>
    <x v="2"/>
    <x v="3"/>
    <s v="Home"/>
    <s v="Furniture"/>
    <s v="Office Chair"/>
    <n v="1"/>
    <n v="12000"/>
    <n v="12000"/>
    <n v="6000"/>
    <n v="12000"/>
    <n v="18000"/>
  </r>
  <r>
    <d v="2024-01-19T00:00:00"/>
    <s v="Friday"/>
    <s v="January"/>
    <x v="0"/>
    <s v="Ahmed Khan"/>
    <n v="55"/>
    <s v="45-55"/>
    <s v="Male"/>
    <x v="0"/>
    <x v="4"/>
    <s v="Books"/>
    <s v="Technology"/>
    <s v="Python Guide"/>
    <n v="10"/>
    <n v="500"/>
    <n v="500"/>
    <n v="3000"/>
    <n v="5000"/>
    <n v="8000"/>
  </r>
  <r>
    <d v="2024-01-20T00:00:00"/>
    <s v="Saturday"/>
    <s v="January"/>
    <x v="0"/>
    <s v="Shalini Das"/>
    <n v="31"/>
    <s v="25-35"/>
    <s v="Female"/>
    <x v="3"/>
    <x v="5"/>
    <s v="Clothing"/>
    <s v="Dresses"/>
    <s v="Summer Dress"/>
    <n v="4"/>
    <n v="1200"/>
    <n v="1200"/>
    <n v="3200"/>
    <n v="4800"/>
    <n v="8000"/>
  </r>
  <r>
    <d v="2024-01-21T00:00:00"/>
    <s v="Sunday"/>
    <s v="January"/>
    <x v="0"/>
    <s v="Maria Garcia"/>
    <n v="38"/>
    <s v="35-45"/>
    <s v="Female"/>
    <x v="4"/>
    <x v="6"/>
    <s v="Electronics"/>
    <s v="Camera"/>
    <s v="Canon EOS"/>
    <n v="2"/>
    <n v="85000"/>
    <n v="85000"/>
    <n v="50000"/>
    <n v="170000"/>
    <n v="220000"/>
  </r>
  <r>
    <d v="2024-01-22T00:00:00"/>
    <s v="Monday"/>
    <s v="January"/>
    <x v="0"/>
    <s v="Hassan Ali"/>
    <n v="45"/>
    <s v="45-55"/>
    <s v="Male"/>
    <x v="1"/>
    <x v="7"/>
    <s v="Sports"/>
    <s v="Shoes"/>
    <s v="Nike Air"/>
    <n v="6"/>
    <n v="3000"/>
    <n v="3000"/>
    <n v="12000"/>
    <n v="18000"/>
    <n v="30000"/>
  </r>
  <r>
    <d v="2024-01-23T00:00:00"/>
    <s v="Tuesday"/>
    <s v="January"/>
    <x v="0"/>
    <s v="Priya Singh"/>
    <n v="26"/>
    <s v="25-35"/>
    <s v="Female"/>
    <x v="3"/>
    <x v="8"/>
    <s v="Beauty"/>
    <s v="Skincare"/>
    <s v="Face Wash"/>
    <n v="15"/>
    <n v="200"/>
    <n v="200"/>
    <n v="3000"/>
    <n v="3000"/>
    <n v="6000"/>
  </r>
  <r>
    <d v="2024-01-24T00:00:00"/>
    <s v="Wednesday"/>
    <s v="January"/>
    <x v="0"/>
    <s v="Tom Wilson"/>
    <n v="52"/>
    <s v="45-55"/>
    <s v="Male"/>
    <x v="2"/>
    <x v="9"/>
    <s v="Home"/>
    <s v="Kitchen"/>
    <s v="Microwave"/>
    <n v="1"/>
    <n v="8000"/>
    <n v="8000"/>
    <n v="4000"/>
    <n v="8000"/>
    <n v="12000"/>
  </r>
  <r>
    <d v="2024-01-25T00:00:00"/>
    <s v="Thursday"/>
    <s v="February"/>
    <x v="0"/>
    <s v="Amira Hassan"/>
    <n v="33"/>
    <s v="25-35"/>
    <s v="Female"/>
    <x v="0"/>
    <x v="10"/>
    <s v="Clothing"/>
    <s v="Tops"/>
    <s v="T-Shirt"/>
    <n v="8"/>
    <n v="600"/>
    <n v="600"/>
    <n v="3200"/>
    <n v="4800"/>
    <n v="8000"/>
  </r>
  <r>
    <d v="2024-01-26T00:00:00"/>
    <s v="Friday"/>
    <s v="February"/>
    <x v="0"/>
    <s v="Ravi Kumar"/>
    <n v="48"/>
    <s v="45-55"/>
    <s v="Male"/>
    <x v="3"/>
    <x v="11"/>
    <s v="Electronics"/>
    <s v="Headphone"/>
    <s v="Sony WH"/>
    <n v="2"/>
    <n v="15000"/>
    <n v="15000"/>
    <n v="14000"/>
    <n v="30000"/>
    <n v="44000"/>
  </r>
  <r>
    <d v="2024-01-27T00:00:00"/>
    <s v="Saturday"/>
    <s v="February"/>
    <x v="0"/>
    <s v="Lisa Mueller"/>
    <n v="36"/>
    <s v="35-45"/>
    <s v="Female"/>
    <x v="1"/>
    <x v="12"/>
    <s v="Books"/>
    <s v="Fiction"/>
    <s v="Novel"/>
    <n v="5"/>
    <n v="400"/>
    <n v="400"/>
    <n v="1500"/>
    <n v="2000"/>
    <n v="3500"/>
  </r>
  <r>
    <d v="2024-01-28T00:00:00"/>
    <s v="Sunday"/>
    <s v="February"/>
    <x v="0"/>
    <s v="Juan Rodriguez"/>
    <n v="40"/>
    <s v="35-45"/>
    <s v="Male"/>
    <x v="4"/>
    <x v="13"/>
    <s v="Sports"/>
    <s v="Equipment"/>
    <s v="Yoga Mat"/>
    <n v="10"/>
    <n v="800"/>
    <n v="800"/>
    <n v="4000"/>
    <n v="8000"/>
    <n v="12000"/>
  </r>
  <r>
    <d v="2024-01-29T00:00:00"/>
    <s v="Monday"/>
    <s v="February"/>
    <x v="0"/>
    <s v="Zainab Ali"/>
    <n v="25"/>
    <s v="25-35"/>
    <s v="Female"/>
    <x v="0"/>
    <x v="14"/>
    <s v="Beauty"/>
    <s v="Makeup"/>
    <s v="Lipstick"/>
    <n v="20"/>
    <n v="300"/>
    <n v="300"/>
    <n v="6000"/>
    <n v="6000"/>
    <n v="12000"/>
  </r>
  <r>
    <d v="2024-01-30T00:00:00"/>
    <s v="Tuesday"/>
    <s v="February"/>
    <x v="0"/>
    <s v="Michael Brown"/>
    <n v="51"/>
    <s v="45-55"/>
    <s v="Male"/>
    <x v="2"/>
    <x v="15"/>
    <s v="Electronics"/>
    <s v="Tablet"/>
    <s v="iPad Pro"/>
    <n v="1"/>
    <n v="65000"/>
    <n v="65000"/>
    <n v="15000"/>
    <n v="65000"/>
    <n v="80000"/>
  </r>
  <r>
    <d v="2024-01-31T00:00:00"/>
    <s v="Wednesday"/>
    <s v="February"/>
    <x v="0"/>
    <s v="Neha Patel"/>
    <n v="29"/>
    <s v="25-35"/>
    <s v="Female"/>
    <x v="3"/>
    <x v="16"/>
    <s v="Clothing"/>
    <s v="Pants"/>
    <s v="Denim Jeans"/>
    <n v="3"/>
    <n v="1500"/>
    <n v="1500"/>
    <n v="3000"/>
    <n v="4500"/>
    <n v="7500"/>
  </r>
  <r>
    <d v="2024-02-01T00:00:00"/>
    <s v="Thursday"/>
    <s v="February"/>
    <x v="0"/>
    <s v="Klaus Weber"/>
    <n v="44"/>
    <s v="35-45"/>
    <s v="Male"/>
    <x v="1"/>
    <x v="17"/>
    <s v="Home"/>
    <s v="Furniture"/>
    <s v="Dining Table"/>
    <n v="1"/>
    <n v="25000"/>
    <n v="25000"/>
    <n v="10000"/>
    <n v="25000"/>
    <n v="35000"/>
  </r>
  <r>
    <d v="2024-02-02T00:00:00"/>
    <s v="Friday"/>
    <s v="February"/>
    <x v="0"/>
    <s v="Sofia Rossi"/>
    <n v="31"/>
    <s v="25-35"/>
    <s v="Female"/>
    <x v="4"/>
    <x v="18"/>
    <s v="Beauty"/>
    <s v="Skincare"/>
    <s v="Moisturizer"/>
    <n v="12"/>
    <n v="400"/>
    <n v="400"/>
    <n v="3100"/>
    <n v="4800"/>
    <n v="7800"/>
  </r>
  <r>
    <d v="2024-02-03T00:00:00"/>
    <s v="Saturday"/>
    <s v="February"/>
    <x v="0"/>
    <s v="Rahim Khan"/>
    <n v="56"/>
    <s v="45-55"/>
    <s v="Male"/>
    <x v="0"/>
    <x v="19"/>
    <s v="Sports"/>
    <s v="Shoes"/>
    <s v="Adidas"/>
    <n v="4"/>
    <n v="2500"/>
    <n v="2500"/>
    <n v="6000"/>
    <n v="10000"/>
    <n v="16000"/>
  </r>
  <r>
    <d v="2024-02-04T00:00:00"/>
    <s v="Sunday"/>
    <s v="February"/>
    <x v="0"/>
    <s v="Jennifer Lee"/>
    <n v="27"/>
    <s v="25-35"/>
    <s v="Female"/>
    <x v="2"/>
    <x v="20"/>
    <s v="Electronics"/>
    <s v="Camera"/>
    <s v="GoPro"/>
    <n v="2"/>
    <n v="35000"/>
    <n v="35000"/>
    <n v="20000"/>
    <n v="70000"/>
    <n v="90000"/>
  </r>
  <r>
    <d v="2024-02-05T00:00:00"/>
    <s v="Monday"/>
    <s v="February"/>
    <x v="0"/>
    <s v="Ananya Sharma"/>
    <n v="34"/>
    <s v="25-35"/>
    <s v="Female"/>
    <x v="3"/>
    <x v="21"/>
    <s v="Home"/>
    <s v="Bedding"/>
    <s v="Cotton Sheets"/>
    <n v="5"/>
    <n v="1200"/>
    <n v="1200"/>
    <n v="3000"/>
    <n v="6000"/>
    <n v="9000"/>
  </r>
  <r>
    <d v="2024-02-06T00:00:00"/>
    <s v="Tuesday"/>
    <s v="February"/>
    <x v="0"/>
    <s v="Hans Mueller"/>
    <n v="47"/>
    <s v="45-55"/>
    <s v="Male"/>
    <x v="1"/>
    <x v="22"/>
    <s v="Books"/>
    <s v="Non-Fiction"/>
    <s v="Business Book"/>
    <n v="8"/>
    <n v="350"/>
    <n v="350"/>
    <n v="2000"/>
    <n v="2800"/>
    <n v="4800"/>
  </r>
  <r>
    <d v="2024-02-07T00:00:00"/>
    <s v="Wednesday"/>
    <s v="February"/>
    <x v="0"/>
    <s v="Carlos Martinez"/>
    <n v="39"/>
    <s v="35-45"/>
    <s v="Male"/>
    <x v="4"/>
    <x v="23"/>
    <s v="Sports"/>
    <s v="Equipment"/>
    <s v="Dumbbell Set"/>
    <n v="2"/>
    <n v="5000"/>
    <n v="5000"/>
    <n v="5000"/>
    <n v="10000"/>
    <n v="15000"/>
  </r>
  <r>
    <d v="2024-02-08T00:00:00"/>
    <s v="Thursday"/>
    <s v="February"/>
    <x v="0"/>
    <s v="Humaira Khan"/>
    <n v="30"/>
    <s v="25-35"/>
    <s v="Female"/>
    <x v="0"/>
    <x v="24"/>
    <s v="Clothing"/>
    <s v="Dresses"/>
    <s v="Party Dress"/>
    <n v="2"/>
    <n v="3000"/>
    <n v="3000"/>
    <n v="5000"/>
    <n v="6000"/>
    <n v="11000"/>
  </r>
  <r>
    <d v="2024-02-09T00:00:00"/>
    <s v="Friday"/>
    <s v="March"/>
    <x v="0"/>
    <s v="Robert Johnson"/>
    <n v="50"/>
    <s v="45-55"/>
    <s v="Male"/>
    <x v="2"/>
    <x v="25"/>
    <s v="Electronics"/>
    <s v="Laptop"/>
    <s v="MacBook Pro"/>
    <n v="1"/>
    <n v="120000"/>
    <n v="120000"/>
    <n v="30000"/>
    <n v="120000"/>
    <n v="150000"/>
  </r>
  <r>
    <d v="2024-02-10T00:00:00"/>
    <s v="Saturday"/>
    <s v="March"/>
    <x v="0"/>
    <s v="Deepika Singh"/>
    <n v="26"/>
    <s v="25-35"/>
    <s v="Female"/>
    <x v="3"/>
    <x v="26"/>
    <s v="Beauty"/>
    <s v="Makeup"/>
    <s v="Eye Shadow"/>
    <n v="25"/>
    <n v="150"/>
    <n v="150"/>
    <n v="5000"/>
    <n v="3750"/>
    <n v="8750"/>
  </r>
  <r>
    <d v="2024-02-11T00:00:00"/>
    <s v="Sunday"/>
    <s v="March"/>
    <x v="0"/>
    <s v="Anna Schmidt"/>
    <n v="35"/>
    <s v="35-45"/>
    <s v="Female"/>
    <x v="1"/>
    <x v="27"/>
    <s v="Home"/>
    <s v="Kitchen"/>
    <s v="Blender"/>
    <n v="3"/>
    <n v="5000"/>
    <n v="5000"/>
    <n v="7500"/>
    <n v="15000"/>
    <n v="22500"/>
  </r>
  <r>
    <d v="2024-02-12T00:00:00"/>
    <s v="Monday"/>
    <s v="March"/>
    <x v="0"/>
    <s v="Diego Lopez"/>
    <n v="41"/>
    <s v="35-45"/>
    <s v="Male"/>
    <x v="4"/>
    <x v="28"/>
    <s v="Clothing"/>
    <s v="Shoes"/>
    <s v="Formal Shoes"/>
    <n v="4"/>
    <n v="2000"/>
    <n v="2000"/>
    <n v="6000"/>
    <n v="8000"/>
    <n v="14000"/>
  </r>
  <r>
    <d v="2024-02-13T00:00:00"/>
    <s v="Tuesday"/>
    <s v="March"/>
    <x v="0"/>
    <s v="Noor Abbas"/>
    <n v="28"/>
    <s v="25-35"/>
    <s v="Female"/>
    <x v="0"/>
    <x v="29"/>
    <s v="Electronics"/>
    <s v="Mobile"/>
    <s v="Samsung S24"/>
    <n v="2"/>
    <n v="65000"/>
    <n v="65000"/>
    <n v="26000"/>
    <n v="130000"/>
    <n v="156000"/>
  </r>
  <r>
    <d v="2024-02-14T00:00:00"/>
    <s v="Wednesday"/>
    <s v="March"/>
    <x v="0"/>
    <s v="Emily Davis"/>
    <n v="48"/>
    <s v="45-55"/>
    <s v="Female"/>
    <x v="2"/>
    <x v="30"/>
    <s v="Books"/>
    <s v="Technology"/>
    <s v="AI Basics"/>
    <n v="12"/>
    <n v="600"/>
    <n v="600"/>
    <n v="3600"/>
    <n v="7200"/>
    <n v="10800"/>
  </r>
  <r>
    <d v="2024-02-15T00:00:00"/>
    <s v="Thursday"/>
    <s v="March"/>
    <x v="0"/>
    <s v="Vikram Reddy"/>
    <n v="33"/>
    <s v="25-35"/>
    <s v="Male"/>
    <x v="3"/>
    <x v="31"/>
    <s v="Sports"/>
    <s v="Shoes"/>
    <s v="Running Shoes"/>
    <n v="5"/>
    <n v="2200"/>
    <n v="2200"/>
    <n v="6500"/>
    <n v="11000"/>
    <n v="17500"/>
  </r>
  <r>
    <d v="2024-02-16T00:00:00"/>
    <s v="Friday"/>
    <s v="March"/>
    <x v="0"/>
    <s v="Petra Bauer"/>
    <n v="43"/>
    <s v="35-45"/>
    <s v="Female"/>
    <x v="1"/>
    <x v="32"/>
    <s v="Clothing"/>
    <s v="Tops"/>
    <s v="Blouse"/>
    <n v="6"/>
    <n v="1500"/>
    <n v="1500"/>
    <n v="6000"/>
    <n v="9000"/>
    <n v="15000"/>
  </r>
  <r>
    <d v="2024-02-17T00:00:00"/>
    <s v="Saturday"/>
    <s v="March"/>
    <x v="0"/>
    <s v="Miguel Torres"/>
    <n v="37"/>
    <s v="35-45"/>
    <s v="Male"/>
    <x v="4"/>
    <x v="33"/>
    <s v="Home"/>
    <s v="Furniture"/>
    <s v="Bookshelf"/>
    <n v="2"/>
    <n v="8000"/>
    <n v="8000"/>
    <n v="8000"/>
    <n v="16000"/>
    <n v="24000"/>
  </r>
  <r>
    <d v="2024-02-18T00:00:00"/>
    <s v="Sunday"/>
    <s v="March"/>
    <x v="0"/>
    <s v="Mariam Hassan"/>
    <n v="32"/>
    <s v="25-35"/>
    <s v="Female"/>
    <x v="0"/>
    <x v="34"/>
    <s v="Beauty"/>
    <s v="Skincare"/>
    <s v="Serum"/>
    <n v="10"/>
    <n v="800"/>
    <n v="800"/>
    <n v="7000"/>
    <n v="8000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DF864-1681-4766-A1BC-AE549F2A0CC0}" name="PivotTable1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L11" firstHeaderRow="1" firstDataRow="3" firstDataCol="1"/>
  <pivotFields count="19">
    <pivotField compact="0" numFmtId="14" outline="0" showAll="0"/>
    <pivotField compact="0" outline="0" showAll="0"/>
    <pivotField compact="0" outline="0" showAll="0"/>
    <pivotField axis="axisCol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3"/>
        <item x="4"/>
        <item x="2"/>
        <item t="default"/>
      </items>
    </pivotField>
    <pivotField axis="axisCol" compact="0" outline="0" showAll="0">
      <items count="36">
        <item x="11"/>
        <item x="13"/>
        <item x="24"/>
        <item x="2"/>
        <item x="28"/>
        <item x="9"/>
        <item x="26"/>
        <item x="1"/>
        <item x="22"/>
        <item x="8"/>
        <item x="0"/>
        <item x="32"/>
        <item x="20"/>
        <item x="17"/>
        <item x="12"/>
        <item x="16"/>
        <item x="25"/>
        <item x="10"/>
        <item x="21"/>
        <item x="6"/>
        <item x="33"/>
        <item x="5"/>
        <item x="7"/>
        <item x="19"/>
        <item x="29"/>
        <item x="3"/>
        <item x="31"/>
        <item x="14"/>
        <item x="34"/>
        <item x="23"/>
        <item x="27"/>
        <item x="4"/>
        <item x="15"/>
        <item x="18"/>
        <item x="3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9"/>
  </colFields>
  <colItems count="3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t="default">
      <x/>
    </i>
    <i t="grand">
      <x/>
    </i>
  </colItems>
  <dataFields count="1">
    <dataField name="Sum of Revenue" fld="1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CF659-245F-4682-B23A-C0E2F0803B22}" name="PivotTable1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9" firstHeaderRow="0" firstDataRow="1" firstDataCol="2"/>
  <pivotFields count="19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sd="0" x="0"/>
        <item sd="0" x="1"/>
        <item sd="0" x="3"/>
        <item sd="0" x="4"/>
        <item sd="0" x="2"/>
        <item t="default"/>
      </items>
    </pivotField>
    <pivotField axis="axisRow" compact="0" outline="0" showAll="0" sortType="ascending">
      <items count="36">
        <item x="11"/>
        <item x="13"/>
        <item x="24"/>
        <item x="2"/>
        <item x="28"/>
        <item x="9"/>
        <item x="26"/>
        <item x="1"/>
        <item x="22"/>
        <item x="8"/>
        <item x="0"/>
        <item x="32"/>
        <item x="20"/>
        <item x="17"/>
        <item x="12"/>
        <item x="16"/>
        <item x="25"/>
        <item x="10"/>
        <item x="21"/>
        <item x="6"/>
        <item x="33"/>
        <item x="5"/>
        <item x="7"/>
        <item x="19"/>
        <item x="29"/>
        <item x="3"/>
        <item x="31"/>
        <item x="14"/>
        <item x="34"/>
        <item x="23"/>
        <item x="27"/>
        <item x="4"/>
        <item x="15"/>
        <item x="18"/>
        <item x="3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8"/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 Per Country" fld="18" showDataAs="percentOfTotal" baseField="0" baseItem="0" numFmtId="10"/>
    <dataField name="Sum of Cost" fld="17" baseField="0" baseItem="0" numFmtId="164"/>
    <dataField name="Sum of Profit" fld="16" baseField="0" baseItem="0" numFmtId="164"/>
  </dataFields>
  <formats count="13">
    <format dxfId="0">
      <pivotArea dataOnly="0" labelOnly="1" outline="0" fieldPosition="0">
        <references count="1">
          <reference field="8" count="1">
            <x v="4"/>
          </reference>
        </references>
      </pivotArea>
    </format>
    <format dxfId="1">
      <pivotArea field="8" type="button" dataOnly="0" labelOnly="1" outline="0" axis="axisRow" fieldPosition="0"/>
    </format>
    <format dxfId="2">
      <pivotArea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format>
    <format dxfId="3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outline="0" fieldPosition="0">
        <references count="1">
          <reference field="4294967294" count="1" selected="0">
            <x v="2"/>
          </reference>
        </references>
      </pivotArea>
    </format>
    <format dxfId="5">
      <pivotArea outline="0" fieldPosition="0">
        <references count="1">
          <reference field="8" count="1" selected="0">
            <x v="4"/>
          </reference>
        </references>
      </pivotArea>
    </format>
    <format dxfId="6">
      <pivotArea dataOnly="0" labelOnly="1" outline="0" fieldPosition="0">
        <references count="1">
          <reference field="8" count="1">
            <x v="4"/>
          </reference>
        </references>
      </pivotArea>
    </format>
    <format dxfId="7">
      <pivotArea outline="0" fieldPosition="0">
        <references count="1">
          <reference field="8" count="1" selected="0">
            <x v="4"/>
          </reference>
        </references>
      </pivotArea>
    </format>
    <format dxfId="8">
      <pivotArea dataOnly="0" labelOnly="1" outline="0" fieldPosition="0">
        <references count="1">
          <reference field="8" count="1">
            <x v="4"/>
          </reference>
        </references>
      </pivotArea>
    </format>
    <format dxfId="9">
      <pivotArea outline="0" fieldPosition="0">
        <references count="1">
          <reference field="8" count="1" selected="0">
            <x v="4"/>
          </reference>
        </references>
      </pivotArea>
    </format>
    <format dxfId="10">
      <pivotArea dataOnly="0" labelOnly="1" outline="0" fieldPosition="0">
        <references count="1">
          <reference field="8" count="1">
            <x v="4"/>
          </reference>
        </references>
      </pivotArea>
    </format>
    <format dxfId="11">
      <pivotArea outline="0" fieldPosition="0">
        <references count="1">
          <reference field="8" count="1" selected="0">
            <x v="4"/>
          </reference>
        </references>
      </pivotArea>
    </format>
    <format dxfId="12">
      <pivotArea dataOnly="0" labelOnly="1" outline="0" fieldPosition="0">
        <references count="1">
          <reference field="8" count="1">
            <x v="4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F3A36E-CE60-4D63-B893-7E5710AD940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3b9e559-29d0-4881-a82b-0e83049450b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37E5-37DE-4BB3-83CC-94454369B24B}">
  <dimension ref="A3:AL11"/>
  <sheetViews>
    <sheetView workbookViewId="0">
      <selection activeCell="A3" sqref="A3"/>
    </sheetView>
  </sheetViews>
  <sheetFormatPr defaultRowHeight="15"/>
  <cols>
    <col min="1" max="1" width="15.28515625" bestFit="1" customWidth="1"/>
    <col min="2" max="2" width="9.85546875" bestFit="1" customWidth="1"/>
    <col min="3" max="3" width="9.7109375" bestFit="1" customWidth="1"/>
    <col min="4" max="4" width="6.85546875" bestFit="1" customWidth="1"/>
    <col min="5" max="5" width="7.42578125" bestFit="1" customWidth="1"/>
    <col min="6" max="6" width="6.42578125" bestFit="1" customWidth="1"/>
    <col min="7" max="7" width="9.42578125" bestFit="1" customWidth="1"/>
    <col min="8" max="8" width="8.140625" bestFit="1" customWidth="1"/>
    <col min="9" max="9" width="10.5703125" bestFit="1" customWidth="1"/>
    <col min="10" max="10" width="8" bestFit="1" customWidth="1"/>
    <col min="11" max="11" width="5.42578125" bestFit="1" customWidth="1"/>
    <col min="12" max="12" width="7.42578125" bestFit="1" customWidth="1"/>
    <col min="13" max="13" width="10.42578125" bestFit="1" customWidth="1"/>
    <col min="14" max="14" width="7" bestFit="1" customWidth="1"/>
    <col min="17" max="17" width="10.5703125" bestFit="1" customWidth="1"/>
    <col min="18" max="18" width="7.42578125" bestFit="1" customWidth="1"/>
    <col min="19" max="19" width="7" bestFit="1" customWidth="1"/>
    <col min="20" max="20" width="7.5703125" bestFit="1" customWidth="1"/>
    <col min="21" max="22" width="7.42578125" bestFit="1" customWidth="1"/>
    <col min="23" max="23" width="8.42578125" bestFit="1" customWidth="1"/>
    <col min="24" max="24" width="7.5703125" bestFit="1" customWidth="1"/>
    <col min="25" max="25" width="12.42578125" bestFit="1" customWidth="1"/>
    <col min="26" max="26" width="12.140625" bestFit="1" customWidth="1"/>
    <col min="27" max="27" width="9.42578125" bestFit="1" customWidth="1"/>
    <col min="28" max="28" width="6.28515625" bestFit="1" customWidth="1"/>
    <col min="29" max="29" width="8.42578125" bestFit="1" customWidth="1"/>
    <col min="30" max="30" width="8.28515625" bestFit="1" customWidth="1"/>
    <col min="31" max="31" width="6.5703125" bestFit="1" customWidth="1"/>
    <col min="32" max="32" width="8.85546875" bestFit="1" customWidth="1"/>
    <col min="33" max="33" width="6.42578125" bestFit="1" customWidth="1"/>
    <col min="34" max="34" width="6.28515625" bestFit="1" customWidth="1"/>
    <col min="35" max="35" width="8.42578125" bestFit="1" customWidth="1"/>
    <col min="36" max="36" width="11.5703125" bestFit="1" customWidth="1"/>
    <col min="37" max="37" width="10.28515625" bestFit="1" customWidth="1"/>
    <col min="38" max="38" width="11.42578125" bestFit="1" customWidth="1"/>
  </cols>
  <sheetData>
    <row r="3" spans="1:38">
      <c r="A3" s="3" t="s">
        <v>0</v>
      </c>
      <c r="B3" s="3" t="s">
        <v>1</v>
      </c>
      <c r="C3" s="3" t="s">
        <v>2</v>
      </c>
    </row>
    <row r="4" spans="1:38">
      <c r="B4">
        <v>2024</v>
      </c>
      <c r="AK4" t="s">
        <v>3</v>
      </c>
      <c r="AL4" t="s">
        <v>4</v>
      </c>
    </row>
    <row r="5" spans="1:38">
      <c r="A5" s="3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</row>
    <row r="6" spans="1:38">
      <c r="A6" t="s">
        <v>41</v>
      </c>
      <c r="B6" s="11"/>
      <c r="C6" s="11"/>
      <c r="D6" s="11">
        <v>11000</v>
      </c>
      <c r="E6" s="11"/>
      <c r="F6" s="11"/>
      <c r="G6" s="11"/>
      <c r="H6" s="11"/>
      <c r="I6" s="11">
        <v>6000</v>
      </c>
      <c r="J6" s="11"/>
      <c r="K6" s="11"/>
      <c r="L6" s="11">
        <v>104000</v>
      </c>
      <c r="M6" s="11"/>
      <c r="N6" s="11"/>
      <c r="O6" s="11"/>
      <c r="P6" s="11"/>
      <c r="Q6" s="11"/>
      <c r="R6" s="11"/>
      <c r="S6" s="11">
        <v>8000</v>
      </c>
      <c r="T6" s="11"/>
      <c r="U6" s="11"/>
      <c r="V6" s="11"/>
      <c r="W6" s="11"/>
      <c r="X6" s="11"/>
      <c r="Y6" s="11">
        <v>16000</v>
      </c>
      <c r="Z6" s="11">
        <v>156000</v>
      </c>
      <c r="AA6" s="11"/>
      <c r="AB6" s="11"/>
      <c r="AC6" s="11">
        <v>12000</v>
      </c>
      <c r="AD6" s="11">
        <v>15000</v>
      </c>
      <c r="AE6" s="11"/>
      <c r="AF6" s="11"/>
      <c r="AG6" s="11">
        <v>8000</v>
      </c>
      <c r="AH6" s="11"/>
      <c r="AI6" s="11"/>
      <c r="AJ6" s="11"/>
      <c r="AK6" s="11">
        <v>336000</v>
      </c>
      <c r="AL6" s="11">
        <v>336000</v>
      </c>
    </row>
    <row r="7" spans="1:38">
      <c r="A7" t="s">
        <v>42</v>
      </c>
      <c r="B7" s="11"/>
      <c r="C7" s="11"/>
      <c r="D7" s="11"/>
      <c r="E7" s="11">
        <v>255000</v>
      </c>
      <c r="F7" s="11"/>
      <c r="G7" s="11"/>
      <c r="H7" s="11"/>
      <c r="I7" s="11"/>
      <c r="J7" s="11">
        <v>4800</v>
      </c>
      <c r="K7" s="11"/>
      <c r="L7" s="11"/>
      <c r="M7" s="11">
        <v>15000</v>
      </c>
      <c r="N7" s="11"/>
      <c r="O7" s="11">
        <v>35000</v>
      </c>
      <c r="P7" s="11">
        <v>3500</v>
      </c>
      <c r="Q7" s="11"/>
      <c r="R7" s="11"/>
      <c r="S7" s="11"/>
      <c r="T7" s="11"/>
      <c r="U7" s="11"/>
      <c r="V7" s="11"/>
      <c r="W7" s="11"/>
      <c r="X7" s="11">
        <v>30000</v>
      </c>
      <c r="Y7" s="11"/>
      <c r="Z7" s="11"/>
      <c r="AA7" s="11"/>
      <c r="AB7" s="11"/>
      <c r="AC7" s="11"/>
      <c r="AD7" s="11"/>
      <c r="AE7" s="11"/>
      <c r="AF7" s="11">
        <v>22500</v>
      </c>
      <c r="AG7" s="11"/>
      <c r="AH7" s="11"/>
      <c r="AI7" s="11"/>
      <c r="AJ7" s="11"/>
      <c r="AK7" s="11">
        <v>365800</v>
      </c>
      <c r="AL7" s="11">
        <v>365800</v>
      </c>
    </row>
    <row r="8" spans="1:38">
      <c r="A8" t="s">
        <v>43</v>
      </c>
      <c r="B8" s="11">
        <v>44000</v>
      </c>
      <c r="C8" s="11"/>
      <c r="D8" s="11"/>
      <c r="E8" s="11"/>
      <c r="F8" s="11"/>
      <c r="G8" s="11"/>
      <c r="H8" s="11">
        <v>8750</v>
      </c>
      <c r="I8" s="11"/>
      <c r="J8" s="11"/>
      <c r="K8" s="11">
        <v>6000</v>
      </c>
      <c r="L8" s="11"/>
      <c r="M8" s="11"/>
      <c r="N8" s="11"/>
      <c r="O8" s="11"/>
      <c r="P8" s="11"/>
      <c r="Q8" s="11">
        <v>7500</v>
      </c>
      <c r="R8" s="11"/>
      <c r="S8" s="11"/>
      <c r="T8" s="11">
        <v>9000</v>
      </c>
      <c r="U8" s="11"/>
      <c r="V8" s="11"/>
      <c r="W8" s="11">
        <v>8000</v>
      </c>
      <c r="X8" s="11"/>
      <c r="Y8" s="11"/>
      <c r="Z8" s="11"/>
      <c r="AA8" s="11"/>
      <c r="AB8" s="11">
        <v>17500</v>
      </c>
      <c r="AC8" s="11"/>
      <c r="AD8" s="11"/>
      <c r="AE8" s="11"/>
      <c r="AF8" s="11"/>
      <c r="AG8" s="11"/>
      <c r="AH8" s="11"/>
      <c r="AI8" s="11"/>
      <c r="AJ8" s="11"/>
      <c r="AK8" s="11">
        <v>100750</v>
      </c>
      <c r="AL8" s="11">
        <v>100750</v>
      </c>
    </row>
    <row r="9" spans="1:38">
      <c r="A9" t="s">
        <v>44</v>
      </c>
      <c r="B9" s="11"/>
      <c r="C9" s="11">
        <v>12000</v>
      </c>
      <c r="D9" s="11"/>
      <c r="E9" s="11"/>
      <c r="F9" s="11">
        <v>14000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>
        <v>220000</v>
      </c>
      <c r="V9" s="11">
        <v>24000</v>
      </c>
      <c r="W9" s="11"/>
      <c r="X9" s="11"/>
      <c r="Y9" s="11"/>
      <c r="Z9" s="11"/>
      <c r="AA9" s="11"/>
      <c r="AB9" s="11"/>
      <c r="AC9" s="11"/>
      <c r="AD9" s="11"/>
      <c r="AE9" s="11">
        <v>15000</v>
      </c>
      <c r="AF9" s="11"/>
      <c r="AG9" s="11"/>
      <c r="AH9" s="11"/>
      <c r="AI9" s="11">
        <v>7800</v>
      </c>
      <c r="AJ9" s="11"/>
      <c r="AK9" s="11">
        <v>292800</v>
      </c>
      <c r="AL9" s="11">
        <v>292800</v>
      </c>
    </row>
    <row r="10" spans="1:38">
      <c r="A10" t="s">
        <v>45</v>
      </c>
      <c r="B10" s="11"/>
      <c r="C10" s="11"/>
      <c r="D10" s="11"/>
      <c r="E10" s="11"/>
      <c r="F10" s="11"/>
      <c r="G10" s="11">
        <v>12000</v>
      </c>
      <c r="H10" s="11"/>
      <c r="I10" s="11"/>
      <c r="J10" s="11"/>
      <c r="K10" s="11"/>
      <c r="L10" s="11"/>
      <c r="M10" s="11"/>
      <c r="N10" s="11">
        <v>90000</v>
      </c>
      <c r="O10" s="11"/>
      <c r="P10" s="11"/>
      <c r="Q10" s="11"/>
      <c r="R10" s="11">
        <v>150000</v>
      </c>
      <c r="S10" s="11"/>
      <c r="T10" s="11"/>
      <c r="U10" s="11"/>
      <c r="V10" s="11"/>
      <c r="W10" s="11"/>
      <c r="X10" s="11"/>
      <c r="Y10" s="11"/>
      <c r="Z10" s="11"/>
      <c r="AA10" s="11">
        <v>18000</v>
      </c>
      <c r="AB10" s="11"/>
      <c r="AC10" s="11"/>
      <c r="AD10" s="11"/>
      <c r="AE10" s="11"/>
      <c r="AF10" s="11"/>
      <c r="AG10" s="11"/>
      <c r="AH10" s="11">
        <v>80000</v>
      </c>
      <c r="AI10" s="11"/>
      <c r="AJ10" s="11">
        <v>10800</v>
      </c>
      <c r="AK10" s="11">
        <v>360800</v>
      </c>
      <c r="AL10" s="11">
        <v>360800</v>
      </c>
    </row>
    <row r="11" spans="1:38">
      <c r="A11" t="s">
        <v>4</v>
      </c>
      <c r="B11" s="11">
        <v>44000</v>
      </c>
      <c r="C11" s="11">
        <v>12000</v>
      </c>
      <c r="D11" s="11">
        <v>11000</v>
      </c>
      <c r="E11" s="11">
        <v>255000</v>
      </c>
      <c r="F11" s="11">
        <v>14000</v>
      </c>
      <c r="G11" s="11">
        <v>12000</v>
      </c>
      <c r="H11" s="11">
        <v>8750</v>
      </c>
      <c r="I11" s="11">
        <v>6000</v>
      </c>
      <c r="J11" s="11">
        <v>4800</v>
      </c>
      <c r="K11" s="11">
        <v>6000</v>
      </c>
      <c r="L11" s="11">
        <v>104000</v>
      </c>
      <c r="M11" s="11">
        <v>15000</v>
      </c>
      <c r="N11" s="11">
        <v>90000</v>
      </c>
      <c r="O11" s="11">
        <v>35000</v>
      </c>
      <c r="P11" s="11">
        <v>3500</v>
      </c>
      <c r="Q11" s="11">
        <v>7500</v>
      </c>
      <c r="R11" s="11">
        <v>150000</v>
      </c>
      <c r="S11" s="11">
        <v>8000</v>
      </c>
      <c r="T11" s="11">
        <v>9000</v>
      </c>
      <c r="U11" s="11">
        <v>220000</v>
      </c>
      <c r="V11" s="11">
        <v>24000</v>
      </c>
      <c r="W11" s="11">
        <v>8000</v>
      </c>
      <c r="X11" s="11">
        <v>30000</v>
      </c>
      <c r="Y11" s="11">
        <v>16000</v>
      </c>
      <c r="Z11" s="11">
        <v>156000</v>
      </c>
      <c r="AA11" s="11">
        <v>18000</v>
      </c>
      <c r="AB11" s="11">
        <v>17500</v>
      </c>
      <c r="AC11" s="11">
        <v>12000</v>
      </c>
      <c r="AD11" s="11">
        <v>15000</v>
      </c>
      <c r="AE11" s="11">
        <v>15000</v>
      </c>
      <c r="AF11" s="11">
        <v>22500</v>
      </c>
      <c r="AG11" s="11">
        <v>8000</v>
      </c>
      <c r="AH11" s="11">
        <v>80000</v>
      </c>
      <c r="AI11" s="11">
        <v>7800</v>
      </c>
      <c r="AJ11" s="11">
        <v>10800</v>
      </c>
      <c r="AK11" s="11">
        <v>1456150</v>
      </c>
      <c r="AL11" s="11">
        <v>1456150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02F8-13D7-4255-A4BD-467A99731311}">
  <dimension ref="A3:E9"/>
  <sheetViews>
    <sheetView workbookViewId="0">
      <selection activeCell="H3" sqref="H3"/>
    </sheetView>
  </sheetViews>
  <sheetFormatPr defaultRowHeight="15"/>
  <cols>
    <col min="1" max="1" width="11.42578125" bestFit="1" customWidth="1"/>
    <col min="2" max="2" width="8.5703125" bestFit="1" customWidth="1"/>
    <col min="3" max="3" width="19.7109375" bestFit="1" customWidth="1"/>
    <col min="4" max="4" width="14.85546875" bestFit="1" customWidth="1"/>
    <col min="5" max="5" width="13.140625" bestFit="1" customWidth="1"/>
  </cols>
  <sheetData>
    <row r="3" spans="1:5">
      <c r="A3" s="6" t="s">
        <v>5</v>
      </c>
      <c r="B3" s="3" t="s">
        <v>2</v>
      </c>
      <c r="C3" t="s">
        <v>46</v>
      </c>
      <c r="D3" t="s">
        <v>47</v>
      </c>
      <c r="E3" t="s">
        <v>48</v>
      </c>
    </row>
    <row r="4" spans="1:5">
      <c r="A4" t="s">
        <v>41</v>
      </c>
      <c r="C4" s="7">
        <v>0.23074545891563369</v>
      </c>
      <c r="D4" s="5">
        <v>263800</v>
      </c>
      <c r="E4" s="5">
        <v>72200</v>
      </c>
    </row>
    <row r="5" spans="1:5">
      <c r="A5" t="s">
        <v>42</v>
      </c>
      <c r="C5" s="4">
        <v>0.25121038354565123</v>
      </c>
      <c r="D5" s="5">
        <v>281800</v>
      </c>
      <c r="E5" s="5">
        <v>84000</v>
      </c>
    </row>
    <row r="6" spans="1:5">
      <c r="A6" t="s">
        <v>43</v>
      </c>
      <c r="C6" s="4">
        <v>6.9189300552827668E-2</v>
      </c>
      <c r="D6" s="5">
        <v>63050</v>
      </c>
      <c r="E6" s="5">
        <v>37700</v>
      </c>
    </row>
    <row r="7" spans="1:5">
      <c r="A7" t="s">
        <v>44</v>
      </c>
      <c r="C7" s="4">
        <v>0.20107818562648078</v>
      </c>
      <c r="D7" s="5">
        <v>216800</v>
      </c>
      <c r="E7" s="5">
        <v>76100</v>
      </c>
    </row>
    <row r="8" spans="1:5" s="9" customFormat="1" ht="15.75">
      <c r="A8" s="8" t="s">
        <v>45</v>
      </c>
      <c r="B8"/>
      <c r="C8" s="10">
        <v>0.24777667135940665</v>
      </c>
      <c r="D8" s="8">
        <v>282200</v>
      </c>
      <c r="E8" s="8">
        <v>78600</v>
      </c>
    </row>
    <row r="9" spans="1:5">
      <c r="A9" t="s">
        <v>4</v>
      </c>
      <c r="C9" s="4">
        <v>1</v>
      </c>
      <c r="D9" s="5">
        <v>1107650</v>
      </c>
      <c r="E9" s="5">
        <v>348600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workbookViewId="0">
      <selection activeCell="D13" sqref="D13"/>
    </sheetView>
  </sheetViews>
  <sheetFormatPr defaultRowHeight="15"/>
  <cols>
    <col min="1" max="1" width="10.140625" bestFit="1" customWidth="1"/>
    <col min="2" max="2" width="11.140625" bestFit="1" customWidth="1"/>
    <col min="5" max="5" width="15.5703125" bestFit="1" customWidth="1"/>
    <col min="6" max="6" width="10.7109375" bestFit="1" customWidth="1"/>
    <col min="7" max="7" width="17.42578125" bestFit="1" customWidth="1"/>
    <col min="9" max="9" width="16.5703125" bestFit="1" customWidth="1"/>
    <col min="10" max="10" width="16.5703125" customWidth="1"/>
    <col min="11" max="11" width="16.5703125" bestFit="1" customWidth="1"/>
    <col min="12" max="12" width="13" bestFit="1" customWidth="1"/>
    <col min="13" max="14" width="14.7109375" bestFit="1" customWidth="1"/>
    <col min="15" max="16" width="10" bestFit="1" customWidth="1"/>
  </cols>
  <sheetData>
    <row r="1" spans="1:19">
      <c r="A1" s="12" t="s">
        <v>49</v>
      </c>
      <c r="B1" s="12" t="s">
        <v>50</v>
      </c>
      <c r="C1" s="13" t="s">
        <v>51</v>
      </c>
      <c r="D1" s="13" t="s">
        <v>1</v>
      </c>
      <c r="E1" s="13" t="s">
        <v>52</v>
      </c>
      <c r="F1" s="13" t="s">
        <v>53</v>
      </c>
      <c r="G1" s="13" t="s">
        <v>54</v>
      </c>
      <c r="H1" s="13" t="s">
        <v>55</v>
      </c>
      <c r="I1" s="13" t="s">
        <v>5</v>
      </c>
      <c r="J1" s="13" t="s">
        <v>2</v>
      </c>
      <c r="K1" s="13" t="s">
        <v>56</v>
      </c>
      <c r="L1" s="13" t="s">
        <v>57</v>
      </c>
      <c r="M1" s="13" t="s">
        <v>58</v>
      </c>
      <c r="N1" s="13" t="s">
        <v>59</v>
      </c>
      <c r="O1" s="13" t="s">
        <v>60</v>
      </c>
      <c r="P1" s="13" t="s">
        <v>60</v>
      </c>
      <c r="Q1" s="13" t="s">
        <v>61</v>
      </c>
      <c r="R1" s="13" t="s">
        <v>62</v>
      </c>
      <c r="S1" s="13" t="s">
        <v>63</v>
      </c>
    </row>
    <row r="2" spans="1:19">
      <c r="A2" s="2">
        <v>45306</v>
      </c>
      <c r="B2" s="1" t="s">
        <v>64</v>
      </c>
      <c r="C2" s="1" t="s">
        <v>65</v>
      </c>
      <c r="D2" s="1">
        <v>2024</v>
      </c>
      <c r="E2" s="1" t="s">
        <v>66</v>
      </c>
      <c r="F2" s="1">
        <v>28</v>
      </c>
      <c r="G2" s="1" t="s">
        <v>67</v>
      </c>
      <c r="H2" s="1" t="s">
        <v>68</v>
      </c>
      <c r="I2" s="1" t="s">
        <v>41</v>
      </c>
      <c r="J2" s="1" t="s">
        <v>16</v>
      </c>
      <c r="K2" s="1" t="s">
        <v>69</v>
      </c>
      <c r="L2" s="1" t="s">
        <v>70</v>
      </c>
      <c r="M2" s="1" t="s">
        <v>71</v>
      </c>
      <c r="N2" s="1">
        <v>2</v>
      </c>
      <c r="O2" s="1">
        <v>45000</v>
      </c>
      <c r="P2" s="1">
        <v>45000</v>
      </c>
      <c r="Q2" s="1">
        <v>14000</v>
      </c>
      <c r="R2" s="1">
        <v>90000</v>
      </c>
      <c r="S2" s="1">
        <v>104000</v>
      </c>
    </row>
    <row r="3" spans="1:19">
      <c r="A3" s="2">
        <v>45307</v>
      </c>
      <c r="B3" s="1" t="s">
        <v>72</v>
      </c>
      <c r="C3" s="1" t="s">
        <v>65</v>
      </c>
      <c r="D3" s="1">
        <v>2024</v>
      </c>
      <c r="E3" s="1" t="s">
        <v>73</v>
      </c>
      <c r="F3" s="1">
        <v>35</v>
      </c>
      <c r="G3" s="1" t="s">
        <v>74</v>
      </c>
      <c r="H3" s="1" t="s">
        <v>75</v>
      </c>
      <c r="I3" s="1" t="s">
        <v>41</v>
      </c>
      <c r="J3" s="1" t="s">
        <v>13</v>
      </c>
      <c r="K3" s="1" t="s">
        <v>76</v>
      </c>
      <c r="L3" s="1" t="s">
        <v>77</v>
      </c>
      <c r="M3" s="1" t="s">
        <v>78</v>
      </c>
      <c r="N3" s="1">
        <v>5</v>
      </c>
      <c r="O3" s="1">
        <v>800</v>
      </c>
      <c r="P3" s="1">
        <v>800</v>
      </c>
      <c r="Q3" s="1">
        <v>2000</v>
      </c>
      <c r="R3" s="1">
        <v>4000</v>
      </c>
      <c r="S3" s="1">
        <v>6000</v>
      </c>
    </row>
    <row r="4" spans="1:19">
      <c r="A4" s="2">
        <v>45308</v>
      </c>
      <c r="B4" s="1" t="s">
        <v>79</v>
      </c>
      <c r="C4" s="1" t="s">
        <v>65</v>
      </c>
      <c r="D4" s="1">
        <v>2024</v>
      </c>
      <c r="E4" s="1" t="s">
        <v>80</v>
      </c>
      <c r="F4" s="1">
        <v>42</v>
      </c>
      <c r="G4" s="1" t="s">
        <v>74</v>
      </c>
      <c r="H4" s="1" t="s">
        <v>68</v>
      </c>
      <c r="I4" s="1" t="s">
        <v>42</v>
      </c>
      <c r="J4" s="1" t="s">
        <v>9</v>
      </c>
      <c r="K4" s="1" t="s">
        <v>69</v>
      </c>
      <c r="L4" s="1" t="s">
        <v>81</v>
      </c>
      <c r="M4" s="1" t="s">
        <v>82</v>
      </c>
      <c r="N4" s="1">
        <v>3</v>
      </c>
      <c r="O4" s="1">
        <v>70000</v>
      </c>
      <c r="P4" s="1">
        <v>70000</v>
      </c>
      <c r="Q4" s="1">
        <v>45000</v>
      </c>
      <c r="R4" s="1">
        <v>210000</v>
      </c>
      <c r="S4" s="1">
        <v>255000</v>
      </c>
    </row>
    <row r="5" spans="1:19">
      <c r="A5" s="2">
        <v>45309</v>
      </c>
      <c r="B5" s="1" t="s">
        <v>83</v>
      </c>
      <c r="C5" s="1" t="s">
        <v>65</v>
      </c>
      <c r="D5" s="1">
        <v>2024</v>
      </c>
      <c r="E5" s="1" t="s">
        <v>84</v>
      </c>
      <c r="F5" s="1">
        <v>29</v>
      </c>
      <c r="G5" s="1" t="s">
        <v>67</v>
      </c>
      <c r="H5" s="1" t="s">
        <v>75</v>
      </c>
      <c r="I5" s="1" t="s">
        <v>45</v>
      </c>
      <c r="J5" s="1" t="s">
        <v>31</v>
      </c>
      <c r="K5" s="1" t="s">
        <v>85</v>
      </c>
      <c r="L5" s="1" t="s">
        <v>86</v>
      </c>
      <c r="M5" s="1" t="s">
        <v>87</v>
      </c>
      <c r="N5" s="1">
        <v>1</v>
      </c>
      <c r="O5" s="1">
        <v>12000</v>
      </c>
      <c r="P5" s="1">
        <v>12000</v>
      </c>
      <c r="Q5" s="1">
        <v>6000</v>
      </c>
      <c r="R5" s="1">
        <v>12000</v>
      </c>
      <c r="S5" s="1">
        <v>18000</v>
      </c>
    </row>
    <row r="6" spans="1:19">
      <c r="A6" s="2">
        <v>45310</v>
      </c>
      <c r="B6" s="1" t="s">
        <v>88</v>
      </c>
      <c r="C6" s="1" t="s">
        <v>65</v>
      </c>
      <c r="D6" s="1">
        <v>2024</v>
      </c>
      <c r="E6" s="1" t="s">
        <v>89</v>
      </c>
      <c r="F6" s="1">
        <v>55</v>
      </c>
      <c r="G6" s="1" t="s">
        <v>90</v>
      </c>
      <c r="H6" s="1" t="s">
        <v>68</v>
      </c>
      <c r="I6" s="1" t="s">
        <v>41</v>
      </c>
      <c r="J6" s="1" t="s">
        <v>37</v>
      </c>
      <c r="K6" s="1" t="s">
        <v>91</v>
      </c>
      <c r="L6" s="1" t="s">
        <v>92</v>
      </c>
      <c r="M6" s="1" t="s">
        <v>93</v>
      </c>
      <c r="N6" s="1">
        <v>10</v>
      </c>
      <c r="O6" s="1">
        <v>500</v>
      </c>
      <c r="P6" s="1">
        <v>500</v>
      </c>
      <c r="Q6" s="1">
        <v>3000</v>
      </c>
      <c r="R6" s="1">
        <v>5000</v>
      </c>
      <c r="S6" s="1">
        <v>8000</v>
      </c>
    </row>
    <row r="7" spans="1:19">
      <c r="A7" s="2">
        <v>45311</v>
      </c>
      <c r="B7" s="1" t="s">
        <v>94</v>
      </c>
      <c r="C7" s="1" t="s">
        <v>65</v>
      </c>
      <c r="D7" s="1">
        <v>2024</v>
      </c>
      <c r="E7" s="1" t="s">
        <v>95</v>
      </c>
      <c r="F7" s="1">
        <v>31</v>
      </c>
      <c r="G7" s="1" t="s">
        <v>67</v>
      </c>
      <c r="H7" s="1" t="s">
        <v>75</v>
      </c>
      <c r="I7" s="1" t="s">
        <v>43</v>
      </c>
      <c r="J7" s="1" t="s">
        <v>27</v>
      </c>
      <c r="K7" s="1" t="s">
        <v>76</v>
      </c>
      <c r="L7" s="1" t="s">
        <v>96</v>
      </c>
      <c r="M7" s="1" t="s">
        <v>97</v>
      </c>
      <c r="N7" s="1">
        <v>4</v>
      </c>
      <c r="O7" s="1">
        <v>1200</v>
      </c>
      <c r="P7" s="1">
        <v>1200</v>
      </c>
      <c r="Q7" s="1">
        <v>3200</v>
      </c>
      <c r="R7" s="1">
        <v>4800</v>
      </c>
      <c r="S7" s="1">
        <v>8000</v>
      </c>
    </row>
    <row r="8" spans="1:19">
      <c r="A8" s="2">
        <v>45312</v>
      </c>
      <c r="B8" s="1" t="s">
        <v>98</v>
      </c>
      <c r="C8" s="1" t="s">
        <v>65</v>
      </c>
      <c r="D8" s="1">
        <v>2024</v>
      </c>
      <c r="E8" s="1" t="s">
        <v>99</v>
      </c>
      <c r="F8" s="1">
        <v>38</v>
      </c>
      <c r="G8" s="1" t="s">
        <v>74</v>
      </c>
      <c r="H8" s="1" t="s">
        <v>75</v>
      </c>
      <c r="I8" s="1" t="s">
        <v>44</v>
      </c>
      <c r="J8" s="1" t="s">
        <v>25</v>
      </c>
      <c r="K8" s="1" t="s">
        <v>69</v>
      </c>
      <c r="L8" s="1" t="s">
        <v>100</v>
      </c>
      <c r="M8" s="1" t="s">
        <v>101</v>
      </c>
      <c r="N8" s="1">
        <v>2</v>
      </c>
      <c r="O8" s="1">
        <v>85000</v>
      </c>
      <c r="P8" s="1">
        <v>85000</v>
      </c>
      <c r="Q8" s="1">
        <v>50000</v>
      </c>
      <c r="R8" s="1">
        <v>170000</v>
      </c>
      <c r="S8" s="1">
        <v>220000</v>
      </c>
    </row>
    <row r="9" spans="1:19">
      <c r="A9" s="2">
        <v>45313</v>
      </c>
      <c r="B9" s="1" t="s">
        <v>64</v>
      </c>
      <c r="C9" s="1" t="s">
        <v>65</v>
      </c>
      <c r="D9" s="1">
        <v>2024</v>
      </c>
      <c r="E9" s="1" t="s">
        <v>102</v>
      </c>
      <c r="F9" s="1">
        <v>45</v>
      </c>
      <c r="G9" s="1" t="s">
        <v>90</v>
      </c>
      <c r="H9" s="1" t="s">
        <v>68</v>
      </c>
      <c r="I9" s="1" t="s">
        <v>42</v>
      </c>
      <c r="J9" s="1" t="s">
        <v>28</v>
      </c>
      <c r="K9" s="1" t="s">
        <v>103</v>
      </c>
      <c r="L9" s="1" t="s">
        <v>104</v>
      </c>
      <c r="M9" s="1" t="s">
        <v>105</v>
      </c>
      <c r="N9" s="1">
        <v>6</v>
      </c>
      <c r="O9" s="1">
        <v>3000</v>
      </c>
      <c r="P9" s="1">
        <v>3000</v>
      </c>
      <c r="Q9" s="1">
        <v>12000</v>
      </c>
      <c r="R9" s="1">
        <v>18000</v>
      </c>
      <c r="S9" s="1">
        <v>30000</v>
      </c>
    </row>
    <row r="10" spans="1:19">
      <c r="A10" s="2">
        <v>45314</v>
      </c>
      <c r="B10" s="1" t="s">
        <v>72</v>
      </c>
      <c r="C10" s="1" t="s">
        <v>65</v>
      </c>
      <c r="D10" s="1">
        <v>2024</v>
      </c>
      <c r="E10" s="1" t="s">
        <v>106</v>
      </c>
      <c r="F10" s="1">
        <v>26</v>
      </c>
      <c r="G10" s="1" t="s">
        <v>67</v>
      </c>
      <c r="H10" s="1" t="s">
        <v>75</v>
      </c>
      <c r="I10" s="1" t="s">
        <v>43</v>
      </c>
      <c r="J10" s="1" t="s">
        <v>15</v>
      </c>
      <c r="K10" s="1" t="s">
        <v>107</v>
      </c>
      <c r="L10" s="1" t="s">
        <v>108</v>
      </c>
      <c r="M10" s="1" t="s">
        <v>109</v>
      </c>
      <c r="N10" s="1">
        <v>15</v>
      </c>
      <c r="O10" s="1">
        <v>200</v>
      </c>
      <c r="P10" s="1">
        <v>200</v>
      </c>
      <c r="Q10" s="1">
        <v>3000</v>
      </c>
      <c r="R10" s="1">
        <v>3000</v>
      </c>
      <c r="S10" s="1">
        <v>6000</v>
      </c>
    </row>
    <row r="11" spans="1:19">
      <c r="A11" s="2">
        <v>45315</v>
      </c>
      <c r="B11" s="1" t="s">
        <v>79</v>
      </c>
      <c r="C11" s="1" t="s">
        <v>65</v>
      </c>
      <c r="D11" s="1">
        <v>2024</v>
      </c>
      <c r="E11" s="1" t="s">
        <v>110</v>
      </c>
      <c r="F11" s="1">
        <v>52</v>
      </c>
      <c r="G11" s="1" t="s">
        <v>90</v>
      </c>
      <c r="H11" s="1" t="s">
        <v>68</v>
      </c>
      <c r="I11" s="1" t="s">
        <v>45</v>
      </c>
      <c r="J11" s="1" t="s">
        <v>11</v>
      </c>
      <c r="K11" s="1" t="s">
        <v>85</v>
      </c>
      <c r="L11" s="1" t="s">
        <v>111</v>
      </c>
      <c r="M11" s="1" t="s">
        <v>112</v>
      </c>
      <c r="N11" s="1">
        <v>1</v>
      </c>
      <c r="O11" s="1">
        <v>8000</v>
      </c>
      <c r="P11" s="1">
        <v>8000</v>
      </c>
      <c r="Q11" s="1">
        <v>4000</v>
      </c>
      <c r="R11" s="1">
        <v>8000</v>
      </c>
      <c r="S11" s="1">
        <v>12000</v>
      </c>
    </row>
    <row r="12" spans="1:19">
      <c r="A12" s="2">
        <v>45316</v>
      </c>
      <c r="B12" s="1" t="s">
        <v>83</v>
      </c>
      <c r="C12" s="1" t="s">
        <v>113</v>
      </c>
      <c r="D12" s="1">
        <v>2024</v>
      </c>
      <c r="E12" s="1" t="s">
        <v>114</v>
      </c>
      <c r="F12" s="1">
        <v>33</v>
      </c>
      <c r="G12" s="1" t="s">
        <v>67</v>
      </c>
      <c r="H12" s="1" t="s">
        <v>75</v>
      </c>
      <c r="I12" s="1" t="s">
        <v>41</v>
      </c>
      <c r="J12" s="1" t="s">
        <v>23</v>
      </c>
      <c r="K12" s="1" t="s">
        <v>76</v>
      </c>
      <c r="L12" s="1" t="s">
        <v>115</v>
      </c>
      <c r="M12" s="1" t="s">
        <v>116</v>
      </c>
      <c r="N12" s="1">
        <v>8</v>
      </c>
      <c r="O12" s="1">
        <v>600</v>
      </c>
      <c r="P12" s="1">
        <v>600</v>
      </c>
      <c r="Q12" s="1">
        <v>3200</v>
      </c>
      <c r="R12" s="1">
        <v>4800</v>
      </c>
      <c r="S12" s="1">
        <v>8000</v>
      </c>
    </row>
    <row r="13" spans="1:19">
      <c r="A13" s="2">
        <v>45317</v>
      </c>
      <c r="B13" s="1" t="s">
        <v>88</v>
      </c>
      <c r="C13" s="1" t="s">
        <v>113</v>
      </c>
      <c r="D13" s="1" t="s">
        <v>117</v>
      </c>
      <c r="E13" s="1" t="s">
        <v>118</v>
      </c>
      <c r="F13" s="1">
        <v>48</v>
      </c>
      <c r="G13" s="1" t="s">
        <v>90</v>
      </c>
      <c r="H13" s="1" t="s">
        <v>68</v>
      </c>
      <c r="I13" s="1" t="s">
        <v>43</v>
      </c>
      <c r="J13" s="1" t="s">
        <v>6</v>
      </c>
      <c r="K13" s="1" t="s">
        <v>69</v>
      </c>
      <c r="L13" s="1" t="s">
        <v>119</v>
      </c>
      <c r="M13" s="1" t="s">
        <v>120</v>
      </c>
      <c r="N13" s="1">
        <v>2</v>
      </c>
      <c r="O13" s="1">
        <v>15000</v>
      </c>
      <c r="P13" s="1">
        <v>15000</v>
      </c>
      <c r="Q13" s="1">
        <v>14000</v>
      </c>
      <c r="R13" s="1">
        <v>30000</v>
      </c>
      <c r="S13" s="1">
        <v>44000</v>
      </c>
    </row>
    <row r="14" spans="1:19">
      <c r="A14" s="2">
        <v>45318</v>
      </c>
      <c r="B14" s="1" t="s">
        <v>94</v>
      </c>
      <c r="C14" s="1" t="s">
        <v>113</v>
      </c>
      <c r="D14" s="1">
        <v>2024</v>
      </c>
      <c r="E14" s="1" t="s">
        <v>121</v>
      </c>
      <c r="F14" s="1">
        <v>36</v>
      </c>
      <c r="G14" s="1" t="s">
        <v>74</v>
      </c>
      <c r="H14" s="1" t="s">
        <v>75</v>
      </c>
      <c r="I14" s="1" t="s">
        <v>42</v>
      </c>
      <c r="J14" s="1" t="s">
        <v>20</v>
      </c>
      <c r="K14" s="1" t="s">
        <v>91</v>
      </c>
      <c r="L14" s="1" t="s">
        <v>122</v>
      </c>
      <c r="M14" s="1" t="s">
        <v>123</v>
      </c>
      <c r="N14" s="1">
        <v>5</v>
      </c>
      <c r="O14" s="1">
        <v>400</v>
      </c>
      <c r="P14" s="1">
        <v>400</v>
      </c>
      <c r="Q14" s="1">
        <v>1500</v>
      </c>
      <c r="R14" s="1">
        <v>2000</v>
      </c>
      <c r="S14" s="1">
        <v>3500</v>
      </c>
    </row>
    <row r="15" spans="1:19">
      <c r="A15" s="2">
        <v>45319</v>
      </c>
      <c r="B15" s="1" t="s">
        <v>98</v>
      </c>
      <c r="C15" s="1" t="s">
        <v>113</v>
      </c>
      <c r="D15" s="1">
        <v>2024</v>
      </c>
      <c r="E15" s="1" t="s">
        <v>124</v>
      </c>
      <c r="F15" s="1">
        <v>40</v>
      </c>
      <c r="G15" s="1" t="s">
        <v>74</v>
      </c>
      <c r="H15" s="1" t="s">
        <v>68</v>
      </c>
      <c r="I15" s="1" t="s">
        <v>44</v>
      </c>
      <c r="J15" s="1" t="s">
        <v>7</v>
      </c>
      <c r="K15" s="1" t="s">
        <v>103</v>
      </c>
      <c r="L15" s="1" t="s">
        <v>125</v>
      </c>
      <c r="M15" s="1" t="s">
        <v>126</v>
      </c>
      <c r="N15" s="1">
        <v>10</v>
      </c>
      <c r="O15" s="1">
        <v>800</v>
      </c>
      <c r="P15" s="1">
        <v>800</v>
      </c>
      <c r="Q15" s="1">
        <v>4000</v>
      </c>
      <c r="R15" s="1">
        <v>8000</v>
      </c>
      <c r="S15" s="1">
        <v>12000</v>
      </c>
    </row>
    <row r="16" spans="1:19">
      <c r="A16" s="2">
        <v>45320</v>
      </c>
      <c r="B16" s="1" t="s">
        <v>64</v>
      </c>
      <c r="C16" s="1" t="s">
        <v>113</v>
      </c>
      <c r="D16" s="1">
        <v>2024</v>
      </c>
      <c r="E16" s="1" t="s">
        <v>127</v>
      </c>
      <c r="F16" s="1">
        <v>25</v>
      </c>
      <c r="G16" s="1" t="s">
        <v>67</v>
      </c>
      <c r="H16" s="1" t="s">
        <v>75</v>
      </c>
      <c r="I16" s="1" t="s">
        <v>41</v>
      </c>
      <c r="J16" s="1" t="s">
        <v>33</v>
      </c>
      <c r="K16" s="1" t="s">
        <v>107</v>
      </c>
      <c r="L16" s="1" t="s">
        <v>128</v>
      </c>
      <c r="M16" s="1" t="s">
        <v>129</v>
      </c>
      <c r="N16" s="1">
        <v>20</v>
      </c>
      <c r="O16" s="1">
        <v>300</v>
      </c>
      <c r="P16" s="1">
        <v>300</v>
      </c>
      <c r="Q16" s="1">
        <v>6000</v>
      </c>
      <c r="R16" s="1">
        <v>6000</v>
      </c>
      <c r="S16" s="1">
        <v>12000</v>
      </c>
    </row>
    <row r="17" spans="1:19">
      <c r="A17" s="2">
        <v>45321</v>
      </c>
      <c r="B17" s="1" t="s">
        <v>72</v>
      </c>
      <c r="C17" s="1" t="s">
        <v>113</v>
      </c>
      <c r="D17" s="1">
        <v>2024</v>
      </c>
      <c r="E17" s="1" t="s">
        <v>130</v>
      </c>
      <c r="F17" s="1">
        <v>51</v>
      </c>
      <c r="G17" s="1" t="s">
        <v>90</v>
      </c>
      <c r="H17" s="1" t="s">
        <v>68</v>
      </c>
      <c r="I17" s="1" t="s">
        <v>45</v>
      </c>
      <c r="J17" s="1" t="s">
        <v>38</v>
      </c>
      <c r="K17" s="1" t="s">
        <v>69</v>
      </c>
      <c r="L17" s="1" t="s">
        <v>131</v>
      </c>
      <c r="M17" s="1" t="s">
        <v>132</v>
      </c>
      <c r="N17" s="1">
        <v>1</v>
      </c>
      <c r="O17" s="1">
        <v>65000</v>
      </c>
      <c r="P17" s="1">
        <v>65000</v>
      </c>
      <c r="Q17" s="1">
        <v>15000</v>
      </c>
      <c r="R17" s="1">
        <v>65000</v>
      </c>
      <c r="S17" s="1">
        <v>80000</v>
      </c>
    </row>
    <row r="18" spans="1:19">
      <c r="A18" s="2">
        <v>45322</v>
      </c>
      <c r="B18" s="1" t="s">
        <v>79</v>
      </c>
      <c r="C18" s="1" t="s">
        <v>113</v>
      </c>
      <c r="D18" s="1">
        <v>2024</v>
      </c>
      <c r="E18" s="1" t="s">
        <v>133</v>
      </c>
      <c r="F18" s="1">
        <v>29</v>
      </c>
      <c r="G18" s="1" t="s">
        <v>67</v>
      </c>
      <c r="H18" s="1" t="s">
        <v>75</v>
      </c>
      <c r="I18" s="1" t="s">
        <v>43</v>
      </c>
      <c r="J18" s="1" t="s">
        <v>21</v>
      </c>
      <c r="K18" s="1" t="s">
        <v>76</v>
      </c>
      <c r="L18" s="1" t="s">
        <v>134</v>
      </c>
      <c r="M18" s="1" t="s">
        <v>135</v>
      </c>
      <c r="N18" s="1">
        <v>3</v>
      </c>
      <c r="O18" s="1">
        <v>1500</v>
      </c>
      <c r="P18" s="1">
        <v>1500</v>
      </c>
      <c r="Q18" s="1">
        <v>3000</v>
      </c>
      <c r="R18" s="1">
        <v>4500</v>
      </c>
      <c r="S18" s="1">
        <v>7500</v>
      </c>
    </row>
    <row r="19" spans="1:19">
      <c r="A19" s="2">
        <v>45323</v>
      </c>
      <c r="B19" s="1" t="s">
        <v>83</v>
      </c>
      <c r="C19" s="1" t="s">
        <v>113</v>
      </c>
      <c r="D19" s="1">
        <v>2024</v>
      </c>
      <c r="E19" s="1" t="s">
        <v>136</v>
      </c>
      <c r="F19" s="1">
        <v>44</v>
      </c>
      <c r="G19" s="1" t="s">
        <v>74</v>
      </c>
      <c r="H19" s="1" t="s">
        <v>68</v>
      </c>
      <c r="I19" s="1" t="s">
        <v>42</v>
      </c>
      <c r="J19" s="1" t="s">
        <v>19</v>
      </c>
      <c r="K19" s="1" t="s">
        <v>85</v>
      </c>
      <c r="L19" s="1" t="s">
        <v>86</v>
      </c>
      <c r="M19" s="1" t="s">
        <v>137</v>
      </c>
      <c r="N19" s="1">
        <v>1</v>
      </c>
      <c r="O19" s="1">
        <v>25000</v>
      </c>
      <c r="P19" s="1">
        <v>25000</v>
      </c>
      <c r="Q19" s="1">
        <v>10000</v>
      </c>
      <c r="R19" s="1">
        <v>25000</v>
      </c>
      <c r="S19" s="1">
        <v>35000</v>
      </c>
    </row>
    <row r="20" spans="1:19">
      <c r="A20" s="2">
        <v>45324</v>
      </c>
      <c r="B20" s="1" t="s">
        <v>88</v>
      </c>
      <c r="C20" s="1" t="s">
        <v>113</v>
      </c>
      <c r="D20" s="1">
        <v>2024</v>
      </c>
      <c r="E20" s="1" t="s">
        <v>138</v>
      </c>
      <c r="F20" s="1">
        <v>31</v>
      </c>
      <c r="G20" s="1" t="s">
        <v>67</v>
      </c>
      <c r="H20" s="1" t="s">
        <v>75</v>
      </c>
      <c r="I20" s="1" t="s">
        <v>44</v>
      </c>
      <c r="J20" s="1" t="s">
        <v>39</v>
      </c>
      <c r="K20" s="1" t="s">
        <v>107</v>
      </c>
      <c r="L20" s="1" t="s">
        <v>108</v>
      </c>
      <c r="M20" s="1" t="s">
        <v>139</v>
      </c>
      <c r="N20" s="1">
        <v>12</v>
      </c>
      <c r="O20" s="1">
        <v>400</v>
      </c>
      <c r="P20" s="1">
        <v>400</v>
      </c>
      <c r="Q20" s="1">
        <v>3100</v>
      </c>
      <c r="R20" s="1">
        <v>4800</v>
      </c>
      <c r="S20" s="1">
        <v>7800</v>
      </c>
    </row>
    <row r="21" spans="1:19">
      <c r="A21" s="2">
        <v>45325</v>
      </c>
      <c r="B21" s="1" t="s">
        <v>94</v>
      </c>
      <c r="C21" s="1" t="s">
        <v>113</v>
      </c>
      <c r="D21" s="1">
        <v>2024</v>
      </c>
      <c r="E21" s="1" t="s">
        <v>140</v>
      </c>
      <c r="F21" s="1">
        <v>56</v>
      </c>
      <c r="G21" s="1" t="s">
        <v>90</v>
      </c>
      <c r="H21" s="1" t="s">
        <v>68</v>
      </c>
      <c r="I21" s="1" t="s">
        <v>41</v>
      </c>
      <c r="J21" s="1" t="s">
        <v>29</v>
      </c>
      <c r="K21" s="1" t="s">
        <v>103</v>
      </c>
      <c r="L21" s="1" t="s">
        <v>104</v>
      </c>
      <c r="M21" s="1" t="s">
        <v>141</v>
      </c>
      <c r="N21" s="1">
        <v>4</v>
      </c>
      <c r="O21" s="1">
        <v>2500</v>
      </c>
      <c r="P21" s="1">
        <v>2500</v>
      </c>
      <c r="Q21" s="1">
        <v>6000</v>
      </c>
      <c r="R21" s="1">
        <v>10000</v>
      </c>
      <c r="S21" s="1">
        <v>16000</v>
      </c>
    </row>
    <row r="22" spans="1:19">
      <c r="A22" s="2">
        <v>45326</v>
      </c>
      <c r="B22" s="1" t="s">
        <v>98</v>
      </c>
      <c r="C22" s="1" t="s">
        <v>113</v>
      </c>
      <c r="D22" s="1">
        <v>2024</v>
      </c>
      <c r="E22" s="1" t="s">
        <v>142</v>
      </c>
      <c r="F22" s="1">
        <v>27</v>
      </c>
      <c r="G22" s="1" t="s">
        <v>67</v>
      </c>
      <c r="H22" s="1" t="s">
        <v>75</v>
      </c>
      <c r="I22" s="1" t="s">
        <v>45</v>
      </c>
      <c r="J22" s="1" t="s">
        <v>18</v>
      </c>
      <c r="K22" s="1" t="s">
        <v>69</v>
      </c>
      <c r="L22" s="1" t="s">
        <v>100</v>
      </c>
      <c r="M22" s="1" t="s">
        <v>143</v>
      </c>
      <c r="N22" s="1">
        <v>2</v>
      </c>
      <c r="O22" s="1">
        <v>35000</v>
      </c>
      <c r="P22" s="1">
        <v>35000</v>
      </c>
      <c r="Q22" s="1">
        <v>20000</v>
      </c>
      <c r="R22" s="1">
        <v>70000</v>
      </c>
      <c r="S22" s="1">
        <v>90000</v>
      </c>
    </row>
    <row r="23" spans="1:19">
      <c r="A23" s="2">
        <v>45327</v>
      </c>
      <c r="B23" s="1" t="s">
        <v>64</v>
      </c>
      <c r="C23" s="1" t="s">
        <v>113</v>
      </c>
      <c r="D23" s="1">
        <v>2024</v>
      </c>
      <c r="E23" s="1" t="s">
        <v>144</v>
      </c>
      <c r="F23" s="1">
        <v>34</v>
      </c>
      <c r="G23" s="1" t="s">
        <v>67</v>
      </c>
      <c r="H23" s="1" t="s">
        <v>75</v>
      </c>
      <c r="I23" s="1" t="s">
        <v>43</v>
      </c>
      <c r="J23" s="1" t="s">
        <v>24</v>
      </c>
      <c r="K23" s="1" t="s">
        <v>85</v>
      </c>
      <c r="L23" s="1" t="s">
        <v>145</v>
      </c>
      <c r="M23" s="1" t="s">
        <v>146</v>
      </c>
      <c r="N23" s="1">
        <v>5</v>
      </c>
      <c r="O23" s="1">
        <v>1200</v>
      </c>
      <c r="P23" s="1">
        <v>1200</v>
      </c>
      <c r="Q23" s="1">
        <v>3000</v>
      </c>
      <c r="R23" s="1">
        <v>6000</v>
      </c>
      <c r="S23" s="1">
        <v>9000</v>
      </c>
    </row>
    <row r="24" spans="1:19">
      <c r="A24" s="2">
        <v>45328</v>
      </c>
      <c r="B24" s="1" t="s">
        <v>72</v>
      </c>
      <c r="C24" s="1" t="s">
        <v>113</v>
      </c>
      <c r="D24" s="1">
        <v>2024</v>
      </c>
      <c r="E24" s="1" t="s">
        <v>147</v>
      </c>
      <c r="F24" s="1">
        <v>47</v>
      </c>
      <c r="G24" s="1" t="s">
        <v>90</v>
      </c>
      <c r="H24" s="1" t="s">
        <v>68</v>
      </c>
      <c r="I24" s="1" t="s">
        <v>42</v>
      </c>
      <c r="J24" s="1" t="s">
        <v>14</v>
      </c>
      <c r="K24" s="1" t="s">
        <v>91</v>
      </c>
      <c r="L24" s="1" t="s">
        <v>148</v>
      </c>
      <c r="M24" s="1" t="s">
        <v>149</v>
      </c>
      <c r="N24" s="1">
        <v>8</v>
      </c>
      <c r="O24" s="1">
        <v>350</v>
      </c>
      <c r="P24" s="1">
        <v>350</v>
      </c>
      <c r="Q24" s="1">
        <v>2000</v>
      </c>
      <c r="R24" s="1">
        <v>2800</v>
      </c>
      <c r="S24" s="1">
        <v>4800</v>
      </c>
    </row>
    <row r="25" spans="1:19">
      <c r="A25" s="2">
        <v>45329</v>
      </c>
      <c r="B25" s="1" t="s">
        <v>79</v>
      </c>
      <c r="C25" s="1" t="s">
        <v>113</v>
      </c>
      <c r="D25" s="1">
        <v>2024</v>
      </c>
      <c r="E25" s="1" t="s">
        <v>150</v>
      </c>
      <c r="F25" s="1">
        <v>39</v>
      </c>
      <c r="G25" s="1" t="s">
        <v>74</v>
      </c>
      <c r="H25" s="1" t="s">
        <v>68</v>
      </c>
      <c r="I25" s="1" t="s">
        <v>44</v>
      </c>
      <c r="J25" s="1" t="s">
        <v>35</v>
      </c>
      <c r="K25" s="1" t="s">
        <v>103</v>
      </c>
      <c r="L25" s="1" t="s">
        <v>125</v>
      </c>
      <c r="M25" s="1" t="s">
        <v>151</v>
      </c>
      <c r="N25" s="1">
        <v>2</v>
      </c>
      <c r="O25" s="1">
        <v>5000</v>
      </c>
      <c r="P25" s="1">
        <v>5000</v>
      </c>
      <c r="Q25" s="1">
        <v>5000</v>
      </c>
      <c r="R25" s="1">
        <v>10000</v>
      </c>
      <c r="S25" s="1">
        <v>15000</v>
      </c>
    </row>
    <row r="26" spans="1:19">
      <c r="A26" s="2">
        <v>45330</v>
      </c>
      <c r="B26" s="1" t="s">
        <v>83</v>
      </c>
      <c r="C26" s="1" t="s">
        <v>113</v>
      </c>
      <c r="D26" s="1">
        <v>2024</v>
      </c>
      <c r="E26" s="1" t="s">
        <v>152</v>
      </c>
      <c r="F26" s="1">
        <v>30</v>
      </c>
      <c r="G26" s="1" t="s">
        <v>67</v>
      </c>
      <c r="H26" s="1" t="s">
        <v>75</v>
      </c>
      <c r="I26" s="1" t="s">
        <v>41</v>
      </c>
      <c r="J26" s="1" t="s">
        <v>8</v>
      </c>
      <c r="K26" s="1" t="s">
        <v>76</v>
      </c>
      <c r="L26" s="1" t="s">
        <v>96</v>
      </c>
      <c r="M26" s="1" t="s">
        <v>153</v>
      </c>
      <c r="N26" s="1">
        <v>2</v>
      </c>
      <c r="O26" s="1">
        <v>3000</v>
      </c>
      <c r="P26" s="1">
        <v>3000</v>
      </c>
      <c r="Q26" s="1">
        <v>5000</v>
      </c>
      <c r="R26" s="1">
        <v>6000</v>
      </c>
      <c r="S26" s="1">
        <v>11000</v>
      </c>
    </row>
    <row r="27" spans="1:19">
      <c r="A27" s="2">
        <v>45331</v>
      </c>
      <c r="B27" s="1" t="s">
        <v>88</v>
      </c>
      <c r="C27" s="1" t="s">
        <v>154</v>
      </c>
      <c r="D27" s="1">
        <v>2024</v>
      </c>
      <c r="E27" s="1" t="s">
        <v>155</v>
      </c>
      <c r="F27" s="1">
        <v>50</v>
      </c>
      <c r="G27" s="1" t="s">
        <v>90</v>
      </c>
      <c r="H27" s="1" t="s">
        <v>68</v>
      </c>
      <c r="I27" s="1" t="s">
        <v>45</v>
      </c>
      <c r="J27" s="1" t="s">
        <v>22</v>
      </c>
      <c r="K27" s="1" t="s">
        <v>69</v>
      </c>
      <c r="L27" s="1" t="s">
        <v>70</v>
      </c>
      <c r="M27" s="1" t="s">
        <v>156</v>
      </c>
      <c r="N27" s="1">
        <v>1</v>
      </c>
      <c r="O27" s="1">
        <v>120000</v>
      </c>
      <c r="P27" s="1">
        <v>120000</v>
      </c>
      <c r="Q27" s="1">
        <v>30000</v>
      </c>
      <c r="R27" s="1">
        <v>120000</v>
      </c>
      <c r="S27" s="1">
        <v>150000</v>
      </c>
    </row>
    <row r="28" spans="1:19">
      <c r="A28" s="2">
        <v>45332</v>
      </c>
      <c r="B28" s="1" t="s">
        <v>94</v>
      </c>
      <c r="C28" s="1" t="s">
        <v>154</v>
      </c>
      <c r="D28" s="1">
        <v>2024</v>
      </c>
      <c r="E28" s="1" t="s">
        <v>157</v>
      </c>
      <c r="F28" s="1">
        <v>26</v>
      </c>
      <c r="G28" s="1" t="s">
        <v>67</v>
      </c>
      <c r="H28" s="1" t="s">
        <v>75</v>
      </c>
      <c r="I28" s="1" t="s">
        <v>43</v>
      </c>
      <c r="J28" s="1" t="s">
        <v>12</v>
      </c>
      <c r="K28" s="1" t="s">
        <v>107</v>
      </c>
      <c r="L28" s="1" t="s">
        <v>128</v>
      </c>
      <c r="M28" s="1" t="s">
        <v>158</v>
      </c>
      <c r="N28" s="1">
        <v>25</v>
      </c>
      <c r="O28" s="1">
        <v>150</v>
      </c>
      <c r="P28" s="1">
        <v>150</v>
      </c>
      <c r="Q28" s="1">
        <v>5000</v>
      </c>
      <c r="R28" s="1">
        <v>3750</v>
      </c>
      <c r="S28" s="1">
        <v>8750</v>
      </c>
    </row>
    <row r="29" spans="1:19">
      <c r="A29" s="2">
        <v>45333</v>
      </c>
      <c r="B29" s="1" t="s">
        <v>98</v>
      </c>
      <c r="C29" s="1" t="s">
        <v>154</v>
      </c>
      <c r="D29" s="1">
        <v>2024</v>
      </c>
      <c r="E29" s="1" t="s">
        <v>159</v>
      </c>
      <c r="F29" s="1">
        <v>35</v>
      </c>
      <c r="G29" s="1" t="s">
        <v>74</v>
      </c>
      <c r="H29" s="1" t="s">
        <v>75</v>
      </c>
      <c r="I29" s="1" t="s">
        <v>42</v>
      </c>
      <c r="J29" s="1" t="s">
        <v>36</v>
      </c>
      <c r="K29" s="1" t="s">
        <v>85</v>
      </c>
      <c r="L29" s="1" t="s">
        <v>111</v>
      </c>
      <c r="M29" s="1" t="s">
        <v>160</v>
      </c>
      <c r="N29" s="1">
        <v>3</v>
      </c>
      <c r="O29" s="1">
        <v>5000</v>
      </c>
      <c r="P29" s="1">
        <v>5000</v>
      </c>
      <c r="Q29" s="1">
        <v>7500</v>
      </c>
      <c r="R29" s="1">
        <v>15000</v>
      </c>
      <c r="S29" s="1">
        <v>22500</v>
      </c>
    </row>
    <row r="30" spans="1:19">
      <c r="A30" s="2">
        <v>45334</v>
      </c>
      <c r="B30" s="1" t="s">
        <v>64</v>
      </c>
      <c r="C30" s="1" t="s">
        <v>154</v>
      </c>
      <c r="D30" s="1">
        <v>2024</v>
      </c>
      <c r="E30" s="1" t="s">
        <v>161</v>
      </c>
      <c r="F30" s="1">
        <v>41</v>
      </c>
      <c r="G30" s="1" t="s">
        <v>74</v>
      </c>
      <c r="H30" s="1" t="s">
        <v>68</v>
      </c>
      <c r="I30" s="1" t="s">
        <v>44</v>
      </c>
      <c r="J30" s="1" t="s">
        <v>10</v>
      </c>
      <c r="K30" s="1" t="s">
        <v>76</v>
      </c>
      <c r="L30" s="1" t="s">
        <v>104</v>
      </c>
      <c r="M30" s="1" t="s">
        <v>162</v>
      </c>
      <c r="N30" s="1">
        <v>4</v>
      </c>
      <c r="O30" s="1">
        <v>2000</v>
      </c>
      <c r="P30" s="1">
        <v>2000</v>
      </c>
      <c r="Q30" s="1">
        <v>6000</v>
      </c>
      <c r="R30" s="1">
        <v>8000</v>
      </c>
      <c r="S30" s="1">
        <v>14000</v>
      </c>
    </row>
    <row r="31" spans="1:19">
      <c r="A31" s="2">
        <v>45335</v>
      </c>
      <c r="B31" s="1" t="s">
        <v>72</v>
      </c>
      <c r="C31" s="1" t="s">
        <v>154</v>
      </c>
      <c r="D31" s="1">
        <v>2024</v>
      </c>
      <c r="E31" s="1" t="s">
        <v>163</v>
      </c>
      <c r="F31" s="1">
        <v>28</v>
      </c>
      <c r="G31" s="1" t="s">
        <v>67</v>
      </c>
      <c r="H31" s="1" t="s">
        <v>75</v>
      </c>
      <c r="I31" s="1" t="s">
        <v>41</v>
      </c>
      <c r="J31" s="1" t="s">
        <v>30</v>
      </c>
      <c r="K31" s="1" t="s">
        <v>69</v>
      </c>
      <c r="L31" s="1" t="s">
        <v>81</v>
      </c>
      <c r="M31" s="1" t="s">
        <v>164</v>
      </c>
      <c r="N31" s="1">
        <v>2</v>
      </c>
      <c r="O31" s="1">
        <v>65000</v>
      </c>
      <c r="P31" s="1">
        <v>65000</v>
      </c>
      <c r="Q31" s="1">
        <v>26000</v>
      </c>
      <c r="R31" s="1">
        <v>130000</v>
      </c>
      <c r="S31" s="1">
        <v>156000</v>
      </c>
    </row>
    <row r="32" spans="1:19">
      <c r="A32" s="2">
        <v>45336</v>
      </c>
      <c r="B32" s="1" t="s">
        <v>79</v>
      </c>
      <c r="C32" s="1" t="s">
        <v>154</v>
      </c>
      <c r="D32" s="1">
        <v>2024</v>
      </c>
      <c r="E32" s="1" t="s">
        <v>165</v>
      </c>
      <c r="F32" s="1">
        <v>48</v>
      </c>
      <c r="G32" s="1" t="s">
        <v>90</v>
      </c>
      <c r="H32" s="1" t="s">
        <v>75</v>
      </c>
      <c r="I32" s="1" t="s">
        <v>45</v>
      </c>
      <c r="J32" s="1" t="s">
        <v>40</v>
      </c>
      <c r="K32" s="1" t="s">
        <v>91</v>
      </c>
      <c r="L32" s="1" t="s">
        <v>92</v>
      </c>
      <c r="M32" s="1" t="s">
        <v>166</v>
      </c>
      <c r="N32" s="1">
        <v>12</v>
      </c>
      <c r="O32" s="1">
        <v>600</v>
      </c>
      <c r="P32" s="1">
        <v>600</v>
      </c>
      <c r="Q32" s="1">
        <v>3600</v>
      </c>
      <c r="R32" s="1">
        <v>7200</v>
      </c>
      <c r="S32" s="1">
        <v>10800</v>
      </c>
    </row>
    <row r="33" spans="1:19">
      <c r="A33" s="2">
        <v>45337</v>
      </c>
      <c r="B33" s="1" t="s">
        <v>83</v>
      </c>
      <c r="C33" s="1" t="s">
        <v>154</v>
      </c>
      <c r="D33" s="1">
        <v>2024</v>
      </c>
      <c r="E33" s="1" t="s">
        <v>167</v>
      </c>
      <c r="F33" s="1">
        <v>33</v>
      </c>
      <c r="G33" s="1" t="s">
        <v>67</v>
      </c>
      <c r="H33" s="1" t="s">
        <v>68</v>
      </c>
      <c r="I33" s="1" t="s">
        <v>43</v>
      </c>
      <c r="J33" s="1" t="s">
        <v>32</v>
      </c>
      <c r="K33" s="1" t="s">
        <v>103</v>
      </c>
      <c r="L33" s="1" t="s">
        <v>104</v>
      </c>
      <c r="M33" s="1" t="s">
        <v>168</v>
      </c>
      <c r="N33" s="1">
        <v>5</v>
      </c>
      <c r="O33" s="1">
        <v>2200</v>
      </c>
      <c r="P33" s="1">
        <v>2200</v>
      </c>
      <c r="Q33" s="1">
        <v>6500</v>
      </c>
      <c r="R33" s="1">
        <v>11000</v>
      </c>
      <c r="S33" s="1">
        <v>17500</v>
      </c>
    </row>
    <row r="34" spans="1:19">
      <c r="A34" s="2">
        <v>45338</v>
      </c>
      <c r="B34" s="1" t="s">
        <v>88</v>
      </c>
      <c r="C34" s="1" t="s">
        <v>154</v>
      </c>
      <c r="D34" s="1">
        <v>2024</v>
      </c>
      <c r="E34" s="1" t="s">
        <v>169</v>
      </c>
      <c r="F34" s="1">
        <v>43</v>
      </c>
      <c r="G34" s="1" t="s">
        <v>74</v>
      </c>
      <c r="H34" s="1" t="s">
        <v>75</v>
      </c>
      <c r="I34" s="1" t="s">
        <v>42</v>
      </c>
      <c r="J34" s="1" t="s">
        <v>17</v>
      </c>
      <c r="K34" s="1" t="s">
        <v>76</v>
      </c>
      <c r="L34" s="1" t="s">
        <v>115</v>
      </c>
      <c r="M34" s="1" t="s">
        <v>170</v>
      </c>
      <c r="N34" s="1">
        <v>6</v>
      </c>
      <c r="O34" s="1">
        <v>1500</v>
      </c>
      <c r="P34" s="1">
        <v>1500</v>
      </c>
      <c r="Q34" s="1">
        <v>6000</v>
      </c>
      <c r="R34" s="1">
        <v>9000</v>
      </c>
      <c r="S34" s="1">
        <v>15000</v>
      </c>
    </row>
    <row r="35" spans="1:19">
      <c r="A35" s="2">
        <v>45339</v>
      </c>
      <c r="B35" s="1" t="s">
        <v>94</v>
      </c>
      <c r="C35" s="1" t="s">
        <v>154</v>
      </c>
      <c r="D35" s="1">
        <v>2024</v>
      </c>
      <c r="E35" s="1" t="s">
        <v>171</v>
      </c>
      <c r="F35" s="1">
        <v>37</v>
      </c>
      <c r="G35" s="1" t="s">
        <v>74</v>
      </c>
      <c r="H35" s="1" t="s">
        <v>68</v>
      </c>
      <c r="I35" s="1" t="s">
        <v>44</v>
      </c>
      <c r="J35" s="1" t="s">
        <v>26</v>
      </c>
      <c r="K35" s="1" t="s">
        <v>85</v>
      </c>
      <c r="L35" s="1" t="s">
        <v>86</v>
      </c>
      <c r="M35" s="1" t="s">
        <v>172</v>
      </c>
      <c r="N35" s="1">
        <v>2</v>
      </c>
      <c r="O35" s="1">
        <v>8000</v>
      </c>
      <c r="P35" s="1">
        <v>8000</v>
      </c>
      <c r="Q35" s="1">
        <v>8000</v>
      </c>
      <c r="R35" s="1">
        <v>16000</v>
      </c>
      <c r="S35" s="1">
        <v>24000</v>
      </c>
    </row>
    <row r="36" spans="1:19">
      <c r="A36" s="2">
        <v>45340</v>
      </c>
      <c r="B36" s="1" t="s">
        <v>98</v>
      </c>
      <c r="C36" s="1" t="s">
        <v>154</v>
      </c>
      <c r="D36" s="1">
        <v>2024</v>
      </c>
      <c r="E36" s="1" t="s">
        <v>173</v>
      </c>
      <c r="F36" s="1">
        <v>32</v>
      </c>
      <c r="G36" s="1" t="s">
        <v>67</v>
      </c>
      <c r="H36" s="1" t="s">
        <v>75</v>
      </c>
      <c r="I36" s="1" t="s">
        <v>41</v>
      </c>
      <c r="J36" s="1" t="s">
        <v>34</v>
      </c>
      <c r="K36" s="1" t="s">
        <v>107</v>
      </c>
      <c r="L36" s="1" t="s">
        <v>108</v>
      </c>
      <c r="M36" s="1" t="s">
        <v>174</v>
      </c>
      <c r="N36" s="1">
        <v>10</v>
      </c>
      <c r="O36" s="1">
        <v>800</v>
      </c>
      <c r="P36" s="1">
        <v>800</v>
      </c>
      <c r="Q36" s="1">
        <v>7000</v>
      </c>
      <c r="R36" s="1">
        <v>8000</v>
      </c>
      <c r="S36" s="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SHORIFUL ALAM ROBIN</cp:lastModifiedBy>
  <cp:revision/>
  <dcterms:created xsi:type="dcterms:W3CDTF">2026-04-24T15:39:55Z</dcterms:created>
  <dcterms:modified xsi:type="dcterms:W3CDTF">2026-05-13T12:32:25Z</dcterms:modified>
  <cp:category/>
  <cp:contentStatus/>
</cp:coreProperties>
</file>