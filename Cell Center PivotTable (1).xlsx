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xr:revisionPtr revIDLastSave="321" documentId="11_E60897F41BE170836B02CE998F75CCDC64E183C8" xr6:coauthVersionLast="47" xr6:coauthVersionMax="47" xr10:uidLastSave="{244985BD-E6CB-46D2-BCE5-9E0E1E095080}"/>
  <bookViews>
    <workbookView xWindow="240" yWindow="105" windowWidth="14805" windowHeight="8010" firstSheet="4" xr2:uid="{00000000-000D-0000-FFFF-FFFF00000000}"/>
  </bookViews>
  <sheets>
    <sheet name="Data" sheetId="1" r:id="rId1"/>
    <sheet name="Chart Representive" sheetId="4" r:id="rId2"/>
    <sheet name="Chart" sheetId="6" r:id="rId3"/>
    <sheet name="Day Of Week" sheetId="7" r:id="rId4"/>
    <sheet name="Adding Columns+refrsh" sheetId="8" r:id="rId5"/>
    <sheet name="Pivot table" sheetId="2" r:id="rId6"/>
    <sheet name="Group" sheetId="5" r:id="rId7"/>
    <sheet name="Conditional" sheetId="9" r:id="rId8"/>
  </sheets>
  <definedNames>
    <definedName name="Slicer_Representative">#N/A</definedName>
    <definedName name="Slicer_Representative1">#N/A</definedName>
  </definedNames>
  <calcPr calcId="191028"/>
  <pivotCaches>
    <pivotCache cacheId="411" r:id="rId9"/>
  </pivotCaches>
  <extLst>
    <ext xmlns:x14="http://schemas.microsoft.com/office/spreadsheetml/2009/9/main" uri="{BBE1A952-AA13-448e-AADC-164F8A28A991}">
      <x14:slicerCaches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7" i="1" l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I7" i="1" a="1"/>
  <c r="I7" i="1"/>
  <c r="I8" i="1" a="1"/>
  <c r="I8" i="1"/>
  <c r="I9" i="1" a="1"/>
  <c r="I9" i="1"/>
  <c r="I10" i="1" a="1"/>
  <c r="I10" i="1"/>
  <c r="I11" i="1" a="1"/>
  <c r="I11" i="1"/>
  <c r="I12" i="1" a="1"/>
  <c r="I12" i="1"/>
  <c r="I13" i="1" a="1"/>
  <c r="I13" i="1"/>
  <c r="I14" i="1" a="1"/>
  <c r="I14" i="1"/>
  <c r="I15" i="1" a="1"/>
  <c r="I15" i="1"/>
  <c r="I16" i="1" a="1"/>
  <c r="I16" i="1"/>
  <c r="I17" i="1" a="1"/>
  <c r="I17" i="1"/>
  <c r="I18" i="1" a="1"/>
  <c r="I18" i="1"/>
  <c r="I19" i="1" a="1"/>
  <c r="I19" i="1"/>
  <c r="I20" i="1" a="1"/>
  <c r="I20" i="1"/>
  <c r="I21" i="1" a="1"/>
  <c r="I21" i="1"/>
  <c r="I22" i="1" a="1"/>
  <c r="I22" i="1"/>
  <c r="I23" i="1" a="1"/>
  <c r="I23" i="1"/>
  <c r="I24" i="1" a="1"/>
  <c r="I24" i="1"/>
  <c r="I25" i="1" a="1"/>
  <c r="I25" i="1"/>
  <c r="I26" i="1" a="1"/>
  <c r="I26" i="1"/>
  <c r="I27" i="1" a="1"/>
  <c r="I27" i="1"/>
  <c r="I28" i="1" a="1"/>
  <c r="I28" i="1"/>
  <c r="I29" i="1" a="1"/>
  <c r="I29" i="1"/>
  <c r="I30" i="1" a="1"/>
  <c r="I30" i="1"/>
  <c r="I31" i="1" a="1"/>
  <c r="I31" i="1"/>
  <c r="I32" i="1" a="1"/>
  <c r="I32" i="1"/>
  <c r="I33" i="1" a="1"/>
  <c r="I33" i="1"/>
  <c r="I34" i="1" a="1"/>
  <c r="I34" i="1"/>
  <c r="I35" i="1" a="1"/>
  <c r="I35" i="1"/>
  <c r="I36" i="1" a="1"/>
  <c r="I36" i="1"/>
  <c r="I37" i="1" a="1"/>
  <c r="I37" i="1"/>
  <c r="I38" i="1" a="1"/>
  <c r="I38" i="1"/>
  <c r="I39" i="1" a="1"/>
  <c r="I39" i="1"/>
  <c r="I40" i="1" a="1"/>
  <c r="I40" i="1"/>
  <c r="I41" i="1" a="1"/>
  <c r="I41" i="1"/>
  <c r="I42" i="1" a="1"/>
  <c r="I42" i="1"/>
  <c r="I43" i="1" a="1"/>
  <c r="I43" i="1"/>
  <c r="I44" i="1" a="1"/>
  <c r="I44" i="1"/>
  <c r="I45" i="1" a="1"/>
  <c r="I45" i="1"/>
  <c r="I46" i="1" a="1"/>
  <c r="I46" i="1"/>
  <c r="I47" i="1" a="1"/>
  <c r="I47" i="1"/>
  <c r="I48" i="1" a="1"/>
  <c r="I48" i="1"/>
  <c r="I49" i="1" a="1"/>
  <c r="I49" i="1"/>
  <c r="I50" i="1" a="1"/>
  <c r="I50" i="1"/>
  <c r="I51" i="1" a="1"/>
  <c r="I51" i="1"/>
  <c r="I52" i="1" a="1"/>
  <c r="I52" i="1"/>
  <c r="I53" i="1" a="1"/>
  <c r="I53" i="1"/>
  <c r="I54" i="1" a="1"/>
  <c r="I54" i="1"/>
  <c r="I55" i="1" a="1"/>
  <c r="I55" i="1"/>
  <c r="I56" i="1" a="1"/>
  <c r="I56" i="1"/>
  <c r="I57" i="1" a="1"/>
  <c r="I57" i="1"/>
  <c r="I58" i="1" a="1"/>
  <c r="I58" i="1"/>
  <c r="I59" i="1" a="1"/>
  <c r="I59" i="1"/>
  <c r="I60" i="1" a="1"/>
  <c r="I60" i="1"/>
  <c r="I61" i="1" a="1"/>
  <c r="I61" i="1"/>
  <c r="I62" i="1" a="1"/>
  <c r="I62" i="1"/>
  <c r="I63" i="1" a="1"/>
  <c r="I63" i="1"/>
  <c r="I64" i="1" a="1"/>
  <c r="I64" i="1"/>
  <c r="I65" i="1" a="1"/>
  <c r="I65" i="1"/>
  <c r="I66" i="1" a="1"/>
  <c r="I66" i="1"/>
  <c r="I67" i="1" a="1"/>
  <c r="I67" i="1"/>
  <c r="I68" i="1" a="1"/>
  <c r="I68" i="1"/>
  <c r="I69" i="1" a="1"/>
  <c r="I69" i="1"/>
  <c r="I70" i="1" a="1"/>
  <c r="I70" i="1"/>
  <c r="I71" i="1" a="1"/>
  <c r="I71" i="1"/>
  <c r="I72" i="1" a="1"/>
  <c r="I72" i="1"/>
  <c r="I73" i="1" a="1"/>
  <c r="I73" i="1"/>
  <c r="I74" i="1" a="1"/>
  <c r="I74" i="1"/>
  <c r="I75" i="1" a="1"/>
  <c r="I75" i="1"/>
  <c r="I76" i="1" a="1"/>
  <c r="I76" i="1"/>
  <c r="I77" i="1" a="1"/>
  <c r="I77" i="1"/>
  <c r="I78" i="1" a="1"/>
  <c r="I78" i="1"/>
  <c r="I79" i="1" a="1"/>
  <c r="I79" i="1"/>
  <c r="I80" i="1" a="1"/>
  <c r="I80" i="1"/>
  <c r="I81" i="1" a="1"/>
  <c r="I81" i="1"/>
  <c r="I82" i="1" a="1"/>
  <c r="I82" i="1"/>
  <c r="I83" i="1" a="1"/>
  <c r="I83" i="1"/>
  <c r="I84" i="1" a="1"/>
  <c r="I84" i="1"/>
  <c r="I85" i="1" a="1"/>
  <c r="I85" i="1"/>
  <c r="I86" i="1" a="1"/>
  <c r="I86" i="1"/>
  <c r="I87" i="1" a="1"/>
  <c r="I87" i="1"/>
  <c r="I88" i="1" a="1"/>
  <c r="I88" i="1"/>
  <c r="I89" i="1" a="1"/>
  <c r="I89" i="1"/>
  <c r="I90" i="1" a="1"/>
  <c r="I90" i="1"/>
  <c r="I91" i="1" a="1"/>
  <c r="I91" i="1"/>
  <c r="I92" i="1" a="1"/>
  <c r="I92" i="1"/>
  <c r="I93" i="1" a="1"/>
  <c r="I93" i="1"/>
  <c r="I94" i="1" a="1"/>
  <c r="I94" i="1"/>
  <c r="I95" i="1" a="1"/>
  <c r="I95" i="1"/>
  <c r="I96" i="1" a="1"/>
  <c r="I96" i="1"/>
  <c r="I97" i="1" a="1"/>
  <c r="I97" i="1"/>
  <c r="I98" i="1" a="1"/>
  <c r="I98" i="1"/>
  <c r="I99" i="1" a="1"/>
  <c r="I99" i="1"/>
  <c r="I100" i="1" a="1"/>
  <c r="I100" i="1"/>
  <c r="I101" i="1" a="1"/>
  <c r="I101" i="1"/>
  <c r="I102" i="1" a="1"/>
  <c r="I102" i="1"/>
  <c r="I103" i="1" a="1"/>
  <c r="I103" i="1"/>
  <c r="I104" i="1" a="1"/>
  <c r="I104" i="1"/>
  <c r="I105" i="1" a="1"/>
  <c r="I105" i="1"/>
  <c r="I106" i="1" a="1"/>
  <c r="I106" i="1"/>
  <c r="I107" i="1" a="1"/>
  <c r="I107" i="1"/>
  <c r="I108" i="1" a="1"/>
  <c r="I108" i="1"/>
  <c r="I109" i="1" a="1"/>
  <c r="I109" i="1"/>
  <c r="I110" i="1" a="1"/>
  <c r="I110" i="1"/>
  <c r="I111" i="1" a="1"/>
  <c r="I111" i="1"/>
  <c r="I112" i="1" a="1"/>
  <c r="I112" i="1"/>
  <c r="I113" i="1" a="1"/>
  <c r="I113" i="1"/>
  <c r="I114" i="1" a="1"/>
  <c r="I114" i="1"/>
  <c r="I115" i="1" a="1"/>
  <c r="I115" i="1"/>
  <c r="I116" i="1" a="1"/>
  <c r="I116" i="1"/>
  <c r="I117" i="1" a="1"/>
  <c r="I117" i="1"/>
  <c r="I118" i="1" a="1"/>
  <c r="I118" i="1"/>
  <c r="I119" i="1" a="1"/>
  <c r="I119" i="1"/>
  <c r="I120" i="1" a="1"/>
  <c r="I120" i="1"/>
  <c r="I121" i="1" a="1"/>
  <c r="I121" i="1"/>
  <c r="I122" i="1" a="1"/>
  <c r="I122" i="1"/>
  <c r="I123" i="1" a="1"/>
  <c r="I123" i="1"/>
  <c r="I124" i="1" a="1"/>
  <c r="I124" i="1"/>
  <c r="I125" i="1" a="1"/>
  <c r="I125" i="1"/>
  <c r="I126" i="1" a="1"/>
  <c r="I126" i="1"/>
  <c r="I127" i="1" a="1"/>
  <c r="I127" i="1"/>
  <c r="I128" i="1" a="1"/>
  <c r="I128" i="1"/>
  <c r="I129" i="1" a="1"/>
  <c r="I129" i="1"/>
  <c r="I130" i="1" a="1"/>
  <c r="I130" i="1"/>
  <c r="I131" i="1" a="1"/>
  <c r="I131" i="1"/>
  <c r="I132" i="1" a="1"/>
  <c r="I132" i="1"/>
  <c r="I133" i="1" a="1"/>
  <c r="I133" i="1"/>
  <c r="I134" i="1" a="1"/>
  <c r="I134" i="1"/>
  <c r="I135" i="1" a="1"/>
  <c r="I135" i="1"/>
  <c r="I136" i="1" a="1"/>
  <c r="I136" i="1"/>
  <c r="I137" i="1" a="1"/>
  <c r="I137" i="1"/>
  <c r="I138" i="1" a="1"/>
  <c r="I138" i="1"/>
  <c r="I139" i="1" a="1"/>
  <c r="I139" i="1"/>
  <c r="I140" i="1" a="1"/>
  <c r="I140" i="1"/>
  <c r="I141" i="1" a="1"/>
  <c r="I141" i="1"/>
  <c r="I142" i="1" a="1"/>
  <c r="I142" i="1"/>
  <c r="I143" i="1" a="1"/>
  <c r="I143" i="1"/>
  <c r="I144" i="1" a="1"/>
  <c r="I144" i="1"/>
  <c r="I145" i="1" a="1"/>
  <c r="I145" i="1"/>
  <c r="I146" i="1" a="1"/>
  <c r="I146" i="1"/>
  <c r="I147" i="1" a="1"/>
  <c r="I147" i="1"/>
  <c r="I148" i="1" a="1"/>
  <c r="I148" i="1"/>
  <c r="I149" i="1" a="1"/>
  <c r="I149" i="1"/>
  <c r="I150" i="1" a="1"/>
  <c r="I150" i="1"/>
  <c r="I151" i="1" a="1"/>
  <c r="I151" i="1"/>
  <c r="I152" i="1" a="1"/>
  <c r="I152" i="1"/>
  <c r="I153" i="1" a="1"/>
  <c r="I153" i="1"/>
  <c r="I154" i="1" a="1"/>
  <c r="I154" i="1"/>
  <c r="I155" i="1" a="1"/>
  <c r="I155" i="1"/>
  <c r="I156" i="1" a="1"/>
  <c r="I156" i="1"/>
  <c r="I157" i="1" a="1"/>
  <c r="I157" i="1"/>
  <c r="I158" i="1" a="1"/>
  <c r="I158" i="1"/>
  <c r="I159" i="1" a="1"/>
  <c r="I159" i="1"/>
  <c r="I160" i="1" a="1"/>
  <c r="I160" i="1"/>
  <c r="I161" i="1" a="1"/>
  <c r="I161" i="1"/>
  <c r="I162" i="1" a="1"/>
  <c r="I162" i="1"/>
  <c r="I163" i="1" a="1"/>
  <c r="I163" i="1"/>
  <c r="I164" i="1" a="1"/>
  <c r="I164" i="1"/>
  <c r="I165" i="1" a="1"/>
  <c r="I165" i="1"/>
  <c r="I166" i="1" a="1"/>
  <c r="I166" i="1"/>
  <c r="I167" i="1" a="1"/>
  <c r="I167" i="1"/>
  <c r="I168" i="1" a="1"/>
  <c r="I168" i="1"/>
  <c r="I169" i="1" a="1"/>
  <c r="I169" i="1"/>
  <c r="I170" i="1" a="1"/>
  <c r="I170" i="1"/>
  <c r="I171" i="1" a="1"/>
  <c r="I171" i="1"/>
  <c r="I172" i="1" a="1"/>
  <c r="I172" i="1"/>
  <c r="I173" i="1" a="1"/>
  <c r="I173" i="1"/>
  <c r="I174" i="1" a="1"/>
  <c r="I174" i="1"/>
  <c r="I175" i="1" a="1"/>
  <c r="I175" i="1"/>
  <c r="I176" i="1" a="1"/>
  <c r="I176" i="1"/>
  <c r="I177" i="1" a="1"/>
  <c r="I177" i="1"/>
  <c r="I178" i="1" a="1"/>
  <c r="I178" i="1"/>
  <c r="I179" i="1" a="1"/>
  <c r="I179" i="1"/>
  <c r="I180" i="1" a="1"/>
  <c r="I180" i="1"/>
  <c r="I181" i="1" a="1"/>
  <c r="I181" i="1"/>
  <c r="I182" i="1" a="1"/>
  <c r="I182" i="1"/>
  <c r="I183" i="1" a="1"/>
  <c r="I183" i="1"/>
  <c r="I184" i="1" a="1"/>
  <c r="I184" i="1"/>
  <c r="I185" i="1" a="1"/>
  <c r="I185" i="1"/>
  <c r="I186" i="1" a="1"/>
  <c r="I186" i="1"/>
  <c r="I187" i="1" a="1"/>
  <c r="I187" i="1"/>
  <c r="I188" i="1" a="1"/>
  <c r="I188" i="1"/>
  <c r="I189" i="1" a="1"/>
  <c r="I189" i="1"/>
  <c r="I190" i="1" a="1"/>
  <c r="I190" i="1"/>
  <c r="I191" i="1" a="1"/>
  <c r="I191" i="1"/>
  <c r="I192" i="1" a="1"/>
  <c r="I192" i="1"/>
  <c r="I193" i="1" a="1"/>
  <c r="I193" i="1"/>
  <c r="I194" i="1" a="1"/>
  <c r="I194" i="1"/>
  <c r="I195" i="1" a="1"/>
  <c r="I195" i="1"/>
  <c r="I196" i="1" a="1"/>
  <c r="I196" i="1"/>
  <c r="I197" i="1" a="1"/>
  <c r="I197" i="1"/>
  <c r="I198" i="1" a="1"/>
  <c r="I198" i="1"/>
  <c r="I199" i="1" a="1"/>
  <c r="I199" i="1"/>
  <c r="I200" i="1" a="1"/>
  <c r="I200" i="1"/>
  <c r="I201" i="1" a="1"/>
  <c r="I201" i="1"/>
  <c r="I202" i="1" a="1"/>
  <c r="I202" i="1"/>
  <c r="I203" i="1" a="1"/>
  <c r="I203" i="1"/>
  <c r="I204" i="1" a="1"/>
  <c r="I204" i="1"/>
  <c r="I205" i="1" a="1"/>
  <c r="I205" i="1"/>
  <c r="I206" i="1" a="1"/>
  <c r="I20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<sst xmlns="http://schemas.openxmlformats.org/spreadsheetml/2006/main" count="852" uniqueCount="331">
  <si>
    <t>Cell Center Data</t>
  </si>
  <si>
    <t>Call Number</t>
  </si>
  <si>
    <t>Customer ID</t>
  </si>
  <si>
    <t>Duration</t>
  </si>
  <si>
    <t>Representative</t>
  </si>
  <si>
    <t>Date of Call</t>
  </si>
  <si>
    <t>Purchase Amount</t>
  </si>
  <si>
    <t>Satisfaction Rating</t>
  </si>
  <si>
    <t>Date of Week</t>
  </si>
  <si>
    <t>Duraration Buckes</t>
  </si>
  <si>
    <t>Rating Rounded</t>
  </si>
  <si>
    <t>Call_7401</t>
  </si>
  <si>
    <t>C0006</t>
  </si>
  <si>
    <t>R02</t>
  </si>
  <si>
    <t>Call_7273</t>
  </si>
  <si>
    <t>C0001</t>
  </si>
  <si>
    <t>Call_7414</t>
  </si>
  <si>
    <t>R03</t>
  </si>
  <si>
    <t>Call_7433</t>
  </si>
  <si>
    <t>C0019</t>
  </si>
  <si>
    <t>Call_7337</t>
  </si>
  <si>
    <t>C0003</t>
  </si>
  <si>
    <t>R05</t>
  </si>
  <si>
    <t>Call_7437</t>
  </si>
  <si>
    <t>C0010</t>
  </si>
  <si>
    <t>Call_7371</t>
  </si>
  <si>
    <t>C0009</t>
  </si>
  <si>
    <t>R04</t>
  </si>
  <si>
    <t>Call_7421</t>
  </si>
  <si>
    <t>C0024</t>
  </si>
  <si>
    <t>Robin</t>
  </si>
  <si>
    <t>Call_7425</t>
  </si>
  <si>
    <t>Call_7440</t>
  </si>
  <si>
    <t>C0012</t>
  </si>
  <si>
    <t>Call_7333</t>
  </si>
  <si>
    <t>C0022</t>
  </si>
  <si>
    <t>Call_7394</t>
  </si>
  <si>
    <t>R01</t>
  </si>
  <si>
    <t>Call_7448</t>
  </si>
  <si>
    <t>Call_7338</t>
  </si>
  <si>
    <t>C0005</t>
  </si>
  <si>
    <t>Call_7393</t>
  </si>
  <si>
    <t>C0020</t>
  </si>
  <si>
    <t>Call_7430</t>
  </si>
  <si>
    <t>C0015</t>
  </si>
  <si>
    <t>Call_7372</t>
  </si>
  <si>
    <t>Call_7429</t>
  </si>
  <si>
    <t>C0023</t>
  </si>
  <si>
    <t>Call_7445</t>
  </si>
  <si>
    <t>Call_7447</t>
  </si>
  <si>
    <t>C0013</t>
  </si>
  <si>
    <t>Call_7287</t>
  </si>
  <si>
    <t>C0011</t>
  </si>
  <si>
    <t>Call_7325</t>
  </si>
  <si>
    <t>Call_7301</t>
  </si>
  <si>
    <t>Call_7281</t>
  </si>
  <si>
    <t>Call_7334</t>
  </si>
  <si>
    <t>C0030</t>
  </si>
  <si>
    <t>Call_7271</t>
  </si>
  <si>
    <t>C0021</t>
  </si>
  <si>
    <t>Call_7412</t>
  </si>
  <si>
    <t>Call_7307</t>
  </si>
  <si>
    <t>C0028</t>
  </si>
  <si>
    <t>Call_7289</t>
  </si>
  <si>
    <t>Call_7316</t>
  </si>
  <si>
    <t>C0016</t>
  </si>
  <si>
    <t>Call_7359</t>
  </si>
  <si>
    <t>C0007</t>
  </si>
  <si>
    <t>Call_7366</t>
  </si>
  <si>
    <t>Call_7284</t>
  </si>
  <si>
    <t>Call_7296</t>
  </si>
  <si>
    <t>C0004</t>
  </si>
  <si>
    <t>Call_7413</t>
  </si>
  <si>
    <t>C0018</t>
  </si>
  <si>
    <t>Call_7346</t>
  </si>
  <si>
    <t>Call_7438</t>
  </si>
  <si>
    <t>Call_7422</t>
  </si>
  <si>
    <t>Call_7464</t>
  </si>
  <si>
    <t>Call_7385</t>
  </si>
  <si>
    <t>Call_7424</t>
  </si>
  <si>
    <t>C0002</t>
  </si>
  <si>
    <t>Call_7340</t>
  </si>
  <si>
    <t>Call_7403</t>
  </si>
  <si>
    <t>Call_7456</t>
  </si>
  <si>
    <t>Call_7341</t>
  </si>
  <si>
    <t>Call_7299</t>
  </si>
  <si>
    <t>C0029</t>
  </si>
  <si>
    <t>Call_7357</t>
  </si>
  <si>
    <t>C0027</t>
  </si>
  <si>
    <t>Call_7428</t>
  </si>
  <si>
    <t>Call_7439</t>
  </si>
  <si>
    <t>Call_7319</t>
  </si>
  <si>
    <t>Call_7320</t>
  </si>
  <si>
    <t>Call_7374</t>
  </si>
  <si>
    <t>Call_7283</t>
  </si>
  <si>
    <t>Call_7274</t>
  </si>
  <si>
    <t>Call_7377</t>
  </si>
  <si>
    <t>Call_7384</t>
  </si>
  <si>
    <t>Call_7350</t>
  </si>
  <si>
    <t>Call_7300</t>
  </si>
  <si>
    <t>Call_7321</t>
  </si>
  <si>
    <t>C0017</t>
  </si>
  <si>
    <t>Call_7310</t>
  </si>
  <si>
    <t>Call_7468</t>
  </si>
  <si>
    <t>Call_7327</t>
  </si>
  <si>
    <t>Call_7351</t>
  </si>
  <si>
    <t>C0014</t>
  </si>
  <si>
    <t>Call_7397</t>
  </si>
  <si>
    <t>Call_7363</t>
  </si>
  <si>
    <t>Call_7408</t>
  </si>
  <si>
    <t>Call_7326</t>
  </si>
  <si>
    <t>Call_7427</t>
  </si>
  <si>
    <t>Call_7330</t>
  </si>
  <si>
    <t>Call_7417</t>
  </si>
  <si>
    <t>Call_7469</t>
  </si>
  <si>
    <t>Call_7297</t>
  </si>
  <si>
    <t>Call_7302</t>
  </si>
  <si>
    <t>Call_7459</t>
  </si>
  <si>
    <t>Call_7355</t>
  </si>
  <si>
    <t>Call_7380</t>
  </si>
  <si>
    <t>Call_7387</t>
  </si>
  <si>
    <t>Call_7410</t>
  </si>
  <si>
    <t>Call_7470</t>
  </si>
  <si>
    <t>Call_7453</t>
  </si>
  <si>
    <t>Call_7336</t>
  </si>
  <si>
    <t>Call_7391</t>
  </si>
  <si>
    <t>Call_7405</t>
  </si>
  <si>
    <t>C0008</t>
  </si>
  <si>
    <t>Call_7352</t>
  </si>
  <si>
    <t>Call_7278</t>
  </si>
  <si>
    <t>Call_7280</t>
  </si>
  <si>
    <t>Call_7323</t>
  </si>
  <si>
    <t>Call_7303</t>
  </si>
  <si>
    <t>Call_7342</t>
  </si>
  <si>
    <t>Call_7354</t>
  </si>
  <si>
    <t>Call_7390</t>
  </si>
  <si>
    <t>Call_7369</t>
  </si>
  <si>
    <t>Call_7349</t>
  </si>
  <si>
    <t>Call_7396</t>
  </si>
  <si>
    <t>Call_7375</t>
  </si>
  <si>
    <t>Call_7311</t>
  </si>
  <si>
    <t>Call_7458</t>
  </si>
  <si>
    <t>Call_7353</t>
  </si>
  <si>
    <t>Call_7305</t>
  </si>
  <si>
    <t>Call_7443</t>
  </si>
  <si>
    <t>Call_7455</t>
  </si>
  <si>
    <t>Call_7332</t>
  </si>
  <si>
    <t>Call_7339</t>
  </si>
  <si>
    <t>Call_7272</t>
  </si>
  <si>
    <t>Call_7467</t>
  </si>
  <si>
    <t>Call_7402</t>
  </si>
  <si>
    <t>Call_7314</t>
  </si>
  <si>
    <t>Call_7368</t>
  </si>
  <si>
    <t>Call_7461</t>
  </si>
  <si>
    <t>Call_7286</t>
  </si>
  <si>
    <t>Call_7290</t>
  </si>
  <si>
    <t>Call_7315</t>
  </si>
  <si>
    <t>Call_7431</t>
  </si>
  <si>
    <t>Call_7291</t>
  </si>
  <si>
    <t>Call_7293</t>
  </si>
  <si>
    <t>Call_7398</t>
  </si>
  <si>
    <t>Call_7288</t>
  </si>
  <si>
    <t>Call_7404</t>
  </si>
  <si>
    <t>Call_7409</t>
  </si>
  <si>
    <t>Call_7462</t>
  </si>
  <si>
    <t>Call_7381</t>
  </si>
  <si>
    <t>Call_7419</t>
  </si>
  <si>
    <t>Call_7365</t>
  </si>
  <si>
    <t>Call_7423</t>
  </si>
  <si>
    <t>Call_7436</t>
  </si>
  <si>
    <t>Call_7356</t>
  </si>
  <si>
    <t>Call_7420</t>
  </si>
  <si>
    <t>Call_7317</t>
  </si>
  <si>
    <t>Call_7383</t>
  </si>
  <si>
    <t>Call_7451</t>
  </si>
  <si>
    <t>C0025</t>
  </si>
  <si>
    <t>Call_7361</t>
  </si>
  <si>
    <t>Call_7276</t>
  </si>
  <si>
    <t>Call_7360</t>
  </si>
  <si>
    <t>Call_7466</t>
  </si>
  <si>
    <t>Call_7285</t>
  </si>
  <si>
    <t>Call_7306</t>
  </si>
  <si>
    <t>Call_7411</t>
  </si>
  <si>
    <t>Call_7460</t>
  </si>
  <si>
    <t>Call_7331</t>
  </si>
  <si>
    <t>Call_7395</t>
  </si>
  <si>
    <t>Call_7275</t>
  </si>
  <si>
    <t>Call_7392</t>
  </si>
  <si>
    <t>Call_7312</t>
  </si>
  <si>
    <t>Call_7379</t>
  </si>
  <si>
    <t>Call_7457</t>
  </si>
  <si>
    <t>Call_7279</t>
  </si>
  <si>
    <t>Call_7376</t>
  </si>
  <si>
    <t>Call_7416</t>
  </si>
  <si>
    <t>Call_7382</t>
  </si>
  <si>
    <t>Call_7444</t>
  </si>
  <si>
    <t>Call_7294</t>
  </si>
  <si>
    <t>Call_7282</t>
  </si>
  <si>
    <t>Call_7388</t>
  </si>
  <si>
    <t>Call_7407</t>
  </si>
  <si>
    <t>Call_7449</t>
  </si>
  <si>
    <t>Call_7308</t>
  </si>
  <si>
    <t>Call_7335</t>
  </si>
  <si>
    <t>Call_7441</t>
  </si>
  <si>
    <t>Call_7415</t>
  </si>
  <si>
    <t>Call_7292</t>
  </si>
  <si>
    <t>Call_7358</t>
  </si>
  <si>
    <t>Call_7389</t>
  </si>
  <si>
    <t>Call_7426</t>
  </si>
  <si>
    <t>Call_7406</t>
  </si>
  <si>
    <t>Call_7434</t>
  </si>
  <si>
    <t>Call_7304</t>
  </si>
  <si>
    <t>Call_7322</t>
  </si>
  <si>
    <t>Call_7344</t>
  </si>
  <si>
    <t>Call_7435</t>
  </si>
  <si>
    <t>Call_7367</t>
  </si>
  <si>
    <t>Call_7309</t>
  </si>
  <si>
    <t>Call_7328</t>
  </si>
  <si>
    <t>Call_7399</t>
  </si>
  <si>
    <t>Call_7446</t>
  </si>
  <si>
    <t>Call_7463</t>
  </si>
  <si>
    <t>Call_7450</t>
  </si>
  <si>
    <t>Call_7313</t>
  </si>
  <si>
    <t>Call_7298</t>
  </si>
  <si>
    <t>Call_7418</t>
  </si>
  <si>
    <t>Call_7386</t>
  </si>
  <si>
    <t>Call_7378</t>
  </si>
  <si>
    <t>Call_7432</t>
  </si>
  <si>
    <t>Call_7329</t>
  </si>
  <si>
    <t>Call_7362</t>
  </si>
  <si>
    <t>Call_7364</t>
  </si>
  <si>
    <t>Call_7345</t>
  </si>
  <si>
    <t>Call_7454</t>
  </si>
  <si>
    <t>Call_7343</t>
  </si>
  <si>
    <t>Call_7373</t>
  </si>
  <si>
    <t>Call_7347</t>
  </si>
  <si>
    <t>Call_7400</t>
  </si>
  <si>
    <t>Call_7442</t>
  </si>
  <si>
    <t>Call_7324</t>
  </si>
  <si>
    <t>Call_7370</t>
  </si>
  <si>
    <t>Call_7465</t>
  </si>
  <si>
    <t>Call_7452</t>
  </si>
  <si>
    <t>Call_7318</t>
  </si>
  <si>
    <t>Call_7277</t>
  </si>
  <si>
    <t>Call_7348</t>
  </si>
  <si>
    <t>Call_7295</t>
  </si>
  <si>
    <t>Sum of Purchase Amount</t>
  </si>
  <si>
    <t>Grand Total</t>
  </si>
  <si>
    <t>Count of Call Number</t>
  </si>
  <si>
    <t>6-Jan Total</t>
  </si>
  <si>
    <t>7-Jan Total</t>
  </si>
  <si>
    <t>10-Jan Total</t>
  </si>
  <si>
    <t>11-Jan Total</t>
  </si>
  <si>
    <t>14-Jan Total</t>
  </si>
  <si>
    <t>15-Jan Total</t>
  </si>
  <si>
    <t>16-Jan Total</t>
  </si>
  <si>
    <t>18-Jan Total</t>
  </si>
  <si>
    <t>19-Jan Total</t>
  </si>
  <si>
    <t>20-Jan Total</t>
  </si>
  <si>
    <t>21-Jan Total</t>
  </si>
  <si>
    <t>23-Jan Total</t>
  </si>
  <si>
    <t>30-Jan Total</t>
  </si>
  <si>
    <t>2-Feb Total</t>
  </si>
  <si>
    <t>3-Feb Total</t>
  </si>
  <si>
    <t>7-Feb Total</t>
  </si>
  <si>
    <t>8-Feb Total</t>
  </si>
  <si>
    <t>12-Feb Total</t>
  </si>
  <si>
    <t>14-Feb Total</t>
  </si>
  <si>
    <t>15-Feb Total</t>
  </si>
  <si>
    <t>18-Feb Total</t>
  </si>
  <si>
    <t>19-Feb Total</t>
  </si>
  <si>
    <t>23-Feb Total</t>
  </si>
  <si>
    <t>25-Feb Total</t>
  </si>
  <si>
    <t>1-Mar Total</t>
  </si>
  <si>
    <t>4-Mar Total</t>
  </si>
  <si>
    <t>9-Mar Total</t>
  </si>
  <si>
    <t>11-Mar Total</t>
  </si>
  <si>
    <t>12-Mar Total</t>
  </si>
  <si>
    <t>15-Mar Total</t>
  </si>
  <si>
    <t>18-Mar Total</t>
  </si>
  <si>
    <t>19-Mar Total</t>
  </si>
  <si>
    <t>20-Mar Total</t>
  </si>
  <si>
    <t>21-Mar Total</t>
  </si>
  <si>
    <t>22-Mar Total</t>
  </si>
  <si>
    <t>26-Mar Total</t>
  </si>
  <si>
    <t>27-Mar Total</t>
  </si>
  <si>
    <t>30-Mar Total</t>
  </si>
  <si>
    <t>1-Apr Total</t>
  </si>
  <si>
    <t>9-Apr Total</t>
  </si>
  <si>
    <t>13-Apr Total</t>
  </si>
  <si>
    <t>15-Apr Total</t>
  </si>
  <si>
    <t>18-Apr Total</t>
  </si>
  <si>
    <t>20-Apr Total</t>
  </si>
  <si>
    <t>22-Apr Total</t>
  </si>
  <si>
    <t>27-Apr Total</t>
  </si>
  <si>
    <t>29-Apr Total</t>
  </si>
  <si>
    <t>30-Apr Total</t>
  </si>
  <si>
    <t>1-May Total</t>
  </si>
  <si>
    <t>4-May Total</t>
  </si>
  <si>
    <t>5-May Total</t>
  </si>
  <si>
    <t>7-May Total</t>
  </si>
  <si>
    <t>8-May Total</t>
  </si>
  <si>
    <t>11-May Total</t>
  </si>
  <si>
    <t>16-May Total</t>
  </si>
  <si>
    <t>17-May Total</t>
  </si>
  <si>
    <t>18-May Total</t>
  </si>
  <si>
    <t>19-May Total</t>
  </si>
  <si>
    <t>22-May Total</t>
  </si>
  <si>
    <t>24-May Total</t>
  </si>
  <si>
    <t>25-May Total</t>
  </si>
  <si>
    <t>26-May Total</t>
  </si>
  <si>
    <t>29-May Total</t>
  </si>
  <si>
    <t>30-May Total</t>
  </si>
  <si>
    <t>2-Jun Total</t>
  </si>
  <si>
    <t>10-Jun Total</t>
  </si>
  <si>
    <t>13-Jun Total</t>
  </si>
  <si>
    <t>24-Jun Total</t>
  </si>
  <si>
    <t>28-Jun Total</t>
  </si>
  <si>
    <t>10 to 30 mins</t>
  </si>
  <si>
    <t>30 to 60 min</t>
  </si>
  <si>
    <t>1to2 hours</t>
  </si>
  <si>
    <t>More than 2 hours</t>
  </si>
  <si>
    <t>Average of Satisfaction Rating</t>
  </si>
  <si>
    <t>Count of Customer ID</t>
  </si>
  <si>
    <t>Sunday</t>
  </si>
  <si>
    <t>Monday</t>
  </si>
  <si>
    <t>Tuesday</t>
  </si>
  <si>
    <t>Wednesday</t>
  </si>
  <si>
    <t>Thursday</t>
  </si>
  <si>
    <t>Friday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</si>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</sst>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&quot;$&quot;#,##0.00"/>
  </numFmts>
  <fonts count="5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  <family val="2"/>
      <charset val="1"/>
    </font>
    <font>
      <sz val="11"/>
      <color rgb="FF006100"/>
      <name val="Calibri"/>
      <scheme val="minor"/>
    </font>
    <font>
      <b/>
      <sz val="16"/>
      <color rgb="FF00000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7" borderId="0" applyNumberFormat="0" applyBorder="0" applyAlignment="0" applyProtection="0"/>
  </cellStyleXfs>
  <cellXfs count="19">
    <xf numFmtId="0" fontId="0" fillId="0" borderId="0" xfId="0"/>
    <xf numFmtId="0" fontId="1" fillId="2" borderId="0" xfId="0" applyFont="1" applyFill="1" applyAlignment="1"/>
    <xf numFmtId="16" fontId="1" fillId="2" borderId="0" xfId="0" applyNumberFormat="1" applyFont="1" applyFill="1" applyAlignment="1"/>
    <xf numFmtId="0" fontId="1" fillId="3" borderId="0" xfId="0" applyFont="1" applyFill="1" applyAlignment="1"/>
    <xf numFmtId="0" fontId="0" fillId="0" borderId="0" xfId="0" pivotButton="1"/>
    <xf numFmtId="0" fontId="0" fillId="0" borderId="0" xfId="0" applyNumberFormat="1"/>
    <xf numFmtId="164" fontId="0" fillId="0" borderId="0" xfId="0" applyNumberFormat="1"/>
    <xf numFmtId="165" fontId="0" fillId="0" borderId="0" xfId="0" applyNumberFormat="1"/>
    <xf numFmtId="16" fontId="0" fillId="0" borderId="0" xfId="0" applyNumberFormat="1"/>
    <xf numFmtId="16" fontId="2" fillId="2" borderId="1" xfId="0" applyNumberFormat="1" applyFont="1" applyFill="1" applyBorder="1" applyAlignment="1"/>
    <xf numFmtId="0" fontId="1" fillId="5" borderId="0" xfId="0" applyFont="1" applyFill="1" applyAlignment="1"/>
    <xf numFmtId="10" fontId="0" fillId="0" borderId="0" xfId="0" applyNumberFormat="1"/>
    <xf numFmtId="0" fontId="1" fillId="5" borderId="0" xfId="0" applyFont="1" applyFill="1" applyAlignment="1">
      <alignment wrapText="1"/>
    </xf>
    <xf numFmtId="0" fontId="1" fillId="6" borderId="0" xfId="0" applyFont="1" applyFill="1" applyAlignment="1">
      <alignment wrapText="1"/>
    </xf>
    <xf numFmtId="0" fontId="3" fillId="7" borderId="0" xfId="1" applyNumberFormat="1"/>
    <xf numFmtId="0" fontId="1" fillId="0" borderId="0" xfId="0" applyFont="1"/>
    <xf numFmtId="0" fontId="0" fillId="0" borderId="0" xfId="0" applyBorder="1" applyAlignment="1">
      <alignment wrapText="1"/>
    </xf>
    <xf numFmtId="0" fontId="0" fillId="0" borderId="0" xfId="0" applyBorder="1"/>
    <xf numFmtId="0" fontId="4" fillId="4" borderId="2" xfId="0" applyFont="1" applyFill="1" applyBorder="1" applyAlignment="1">
      <alignment horizontal="center" wrapText="1"/>
    </xf>
  </cellXfs>
  <cellStyles count="2">
    <cellStyle name="Good" xfId="1" builtinId="26"/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21" formatCode="d\-mmm"/>
      <fill>
        <patternFill patternType="solid">
          <fgColor indexed="64"/>
          <bgColor rgb="FFFFFFFF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7" tint="0.3999755851924192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rgb="FFC6EFCE"/>
          <bgColor indexed="65"/>
        </patternFill>
      </fill>
    </dxf>
    <dxf>
      <numFmt numFmtId="164" formatCode="#,##0.0"/>
    </dxf>
    <dxf>
      <numFmt numFmtId="165" formatCode="&quot;$&quot;#,##0.00"/>
    </dxf>
    <dxf>
      <numFmt numFmtId="165" formatCode="&quot;$&quot;#,##0.0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[Cell Center PivotTable.xlsx]Chart Representive!PivotTable2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Representive'!$B$3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Representive'!$A$4:$A$14</c:f>
              <c:strCache>
                <c:ptCount val="10"/>
                <c:pt idx="0">
                  <c:v>C0015</c:v>
                </c:pt>
                <c:pt idx="1">
                  <c:v>C0002</c:v>
                </c:pt>
                <c:pt idx="2">
                  <c:v>C0014</c:v>
                </c:pt>
                <c:pt idx="3">
                  <c:v>C0019</c:v>
                </c:pt>
                <c:pt idx="4">
                  <c:v>C0003</c:v>
                </c:pt>
                <c:pt idx="5">
                  <c:v>C0022</c:v>
                </c:pt>
                <c:pt idx="6">
                  <c:v>C0018</c:v>
                </c:pt>
                <c:pt idx="7">
                  <c:v>C0027</c:v>
                </c:pt>
                <c:pt idx="8">
                  <c:v>C0029</c:v>
                </c:pt>
                <c:pt idx="9">
                  <c:v>C0005</c:v>
                </c:pt>
              </c:strCache>
            </c:strRef>
          </c:cat>
          <c:val>
            <c:numRef>
              <c:f>'Chart Representive'!$B$4:$B$14</c:f>
              <c:numCache>
                <c:formatCode>"$"#,##0.00</c:formatCode>
                <c:ptCount val="10"/>
                <c:pt idx="0">
                  <c:v>493</c:v>
                </c:pt>
                <c:pt idx="1">
                  <c:v>431</c:v>
                </c:pt>
                <c:pt idx="2">
                  <c:v>355</c:v>
                </c:pt>
                <c:pt idx="3">
                  <c:v>353</c:v>
                </c:pt>
                <c:pt idx="4">
                  <c:v>329</c:v>
                </c:pt>
                <c:pt idx="5">
                  <c:v>307</c:v>
                </c:pt>
                <c:pt idx="6">
                  <c:v>292</c:v>
                </c:pt>
                <c:pt idx="7">
                  <c:v>237</c:v>
                </c:pt>
                <c:pt idx="8">
                  <c:v>235</c:v>
                </c:pt>
                <c:pt idx="9">
                  <c:v>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7A-4521-878C-2ECB95948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7958664"/>
        <c:axId val="997960712"/>
      </c:barChart>
      <c:catAx>
        <c:axId val="997958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960712"/>
        <c:crosses val="autoZero"/>
        <c:auto val="1"/>
        <c:lblAlgn val="ctr"/>
        <c:lblOffset val="100"/>
        <c:noMultiLvlLbl val="0"/>
      </c:catAx>
      <c:valAx>
        <c:axId val="997960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958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[Cell Center PivotTable.xlsx]Chart!PivotTable1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Chart!$C$3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Chart!$A$4:$B$146</c:f>
              <c:multiLvlStrCache>
                <c:ptCount val="73"/>
                <c:lvl>
                  <c:pt idx="0">
                    <c:v>R05</c:v>
                  </c:pt>
                  <c:pt idx="1">
                    <c:v>R02</c:v>
                  </c:pt>
                  <c:pt idx="2">
                    <c:v>R05</c:v>
                  </c:pt>
                  <c:pt idx="3">
                    <c:v>R02</c:v>
                  </c:pt>
                  <c:pt idx="4">
                    <c:v>R05</c:v>
                  </c:pt>
                  <c:pt idx="5">
                    <c:v>R05</c:v>
                  </c:pt>
                  <c:pt idx="6">
                    <c:v>R02</c:v>
                  </c:pt>
                  <c:pt idx="7">
                    <c:v>R05</c:v>
                  </c:pt>
                  <c:pt idx="8">
                    <c:v>R02</c:v>
                  </c:pt>
                  <c:pt idx="9">
                    <c:v>R02</c:v>
                  </c:pt>
                  <c:pt idx="10">
                    <c:v>R02</c:v>
                  </c:pt>
                  <c:pt idx="11">
                    <c:v>R05</c:v>
                  </c:pt>
                  <c:pt idx="12">
                    <c:v>R05</c:v>
                  </c:pt>
                  <c:pt idx="13">
                    <c:v>R05</c:v>
                  </c:pt>
                  <c:pt idx="14">
                    <c:v>R02</c:v>
                  </c:pt>
                  <c:pt idx="15">
                    <c:v>R05</c:v>
                  </c:pt>
                  <c:pt idx="16">
                    <c:v>R05</c:v>
                  </c:pt>
                  <c:pt idx="17">
                    <c:v>R02</c:v>
                  </c:pt>
                  <c:pt idx="18">
                    <c:v>R02</c:v>
                  </c:pt>
                  <c:pt idx="19">
                    <c:v>R05</c:v>
                  </c:pt>
                  <c:pt idx="20">
                    <c:v>R02</c:v>
                  </c:pt>
                  <c:pt idx="21">
                    <c:v>R02</c:v>
                  </c:pt>
                  <c:pt idx="22">
                    <c:v>R05</c:v>
                  </c:pt>
                  <c:pt idx="23">
                    <c:v>R05</c:v>
                  </c:pt>
                  <c:pt idx="24">
                    <c:v>R05</c:v>
                  </c:pt>
                  <c:pt idx="25">
                    <c:v>R02</c:v>
                  </c:pt>
                  <c:pt idx="26">
                    <c:v>R02</c:v>
                  </c:pt>
                  <c:pt idx="27">
                    <c:v>R02</c:v>
                  </c:pt>
                  <c:pt idx="28">
                    <c:v>R05</c:v>
                  </c:pt>
                  <c:pt idx="29">
                    <c:v>R02</c:v>
                  </c:pt>
                  <c:pt idx="30">
                    <c:v>R02</c:v>
                  </c:pt>
                  <c:pt idx="31">
                    <c:v>R05</c:v>
                  </c:pt>
                  <c:pt idx="32">
                    <c:v>R05</c:v>
                  </c:pt>
                  <c:pt idx="33">
                    <c:v>R05</c:v>
                  </c:pt>
                  <c:pt idx="34">
                    <c:v>R02</c:v>
                  </c:pt>
                  <c:pt idx="35">
                    <c:v>R05</c:v>
                  </c:pt>
                  <c:pt idx="36">
                    <c:v>R05</c:v>
                  </c:pt>
                  <c:pt idx="37">
                    <c:v>R02</c:v>
                  </c:pt>
                  <c:pt idx="38">
                    <c:v>R05</c:v>
                  </c:pt>
                  <c:pt idx="39">
                    <c:v>R05</c:v>
                  </c:pt>
                  <c:pt idx="40">
                    <c:v>R02</c:v>
                  </c:pt>
                  <c:pt idx="41">
                    <c:v>R05</c:v>
                  </c:pt>
                  <c:pt idx="42">
                    <c:v>R02</c:v>
                  </c:pt>
                  <c:pt idx="43">
                    <c:v>R05</c:v>
                  </c:pt>
                  <c:pt idx="44">
                    <c:v>R02</c:v>
                  </c:pt>
                  <c:pt idx="45">
                    <c:v>R05</c:v>
                  </c:pt>
                  <c:pt idx="46">
                    <c:v>R05</c:v>
                  </c:pt>
                  <c:pt idx="47">
                    <c:v>R05</c:v>
                  </c:pt>
                  <c:pt idx="48">
                    <c:v>R02</c:v>
                  </c:pt>
                  <c:pt idx="49">
                    <c:v>R02</c:v>
                  </c:pt>
                  <c:pt idx="50">
                    <c:v>R02</c:v>
                  </c:pt>
                  <c:pt idx="51">
                    <c:v>R05</c:v>
                  </c:pt>
                  <c:pt idx="52">
                    <c:v>R02</c:v>
                  </c:pt>
                  <c:pt idx="53">
                    <c:v>R05</c:v>
                  </c:pt>
                  <c:pt idx="54">
                    <c:v>R02</c:v>
                  </c:pt>
                  <c:pt idx="55">
                    <c:v>R02</c:v>
                  </c:pt>
                  <c:pt idx="56">
                    <c:v>R02</c:v>
                  </c:pt>
                  <c:pt idx="57">
                    <c:v>R05</c:v>
                  </c:pt>
                  <c:pt idx="58">
                    <c:v>R05</c:v>
                  </c:pt>
                  <c:pt idx="59">
                    <c:v>R02</c:v>
                  </c:pt>
                  <c:pt idx="60">
                    <c:v>R05</c:v>
                  </c:pt>
                  <c:pt idx="61">
                    <c:v>R02</c:v>
                  </c:pt>
                  <c:pt idx="62">
                    <c:v>R05</c:v>
                  </c:pt>
                  <c:pt idx="63">
                    <c:v>R02</c:v>
                  </c:pt>
                  <c:pt idx="64">
                    <c:v>R05</c:v>
                  </c:pt>
                  <c:pt idx="65">
                    <c:v>R05</c:v>
                  </c:pt>
                  <c:pt idx="66">
                    <c:v>R05</c:v>
                  </c:pt>
                  <c:pt idx="67">
                    <c:v>R02</c:v>
                  </c:pt>
                  <c:pt idx="68">
                    <c:v>R05</c:v>
                  </c:pt>
                  <c:pt idx="69">
                    <c:v>R02</c:v>
                  </c:pt>
                  <c:pt idx="70">
                    <c:v>R02</c:v>
                  </c:pt>
                  <c:pt idx="71">
                    <c:v>R02</c:v>
                  </c:pt>
                  <c:pt idx="72">
                    <c:v>R02</c:v>
                  </c:pt>
                </c:lvl>
                <c:lvl>
                  <c:pt idx="0">
                    <c:v>6-Jan</c:v>
                  </c:pt>
                  <c:pt idx="1">
                    <c:v>7-Jan</c:v>
                  </c:pt>
                  <c:pt idx="2">
                    <c:v>10-Jan</c:v>
                  </c:pt>
                  <c:pt idx="3">
                    <c:v>11-Jan</c:v>
                  </c:pt>
                  <c:pt idx="5">
                    <c:v>14-Jan</c:v>
                  </c:pt>
                  <c:pt idx="6">
                    <c:v>15-Jan</c:v>
                  </c:pt>
                  <c:pt idx="7">
                    <c:v>16-Jan</c:v>
                  </c:pt>
                  <c:pt idx="8">
                    <c:v>18-Jan</c:v>
                  </c:pt>
                  <c:pt idx="9">
                    <c:v>19-Jan</c:v>
                  </c:pt>
                  <c:pt idx="10">
                    <c:v>20-Jan</c:v>
                  </c:pt>
                  <c:pt idx="11">
                    <c:v>21-Jan</c:v>
                  </c:pt>
                  <c:pt idx="12">
                    <c:v>23-Jan</c:v>
                  </c:pt>
                  <c:pt idx="13">
                    <c:v>30-Jan</c:v>
                  </c:pt>
                  <c:pt idx="14">
                    <c:v>2-Feb</c:v>
                  </c:pt>
                  <c:pt idx="16">
                    <c:v>3-Feb</c:v>
                  </c:pt>
                  <c:pt idx="17">
                    <c:v>7-Feb</c:v>
                  </c:pt>
                  <c:pt idx="18">
                    <c:v>8-Feb</c:v>
                  </c:pt>
                  <c:pt idx="19">
                    <c:v>12-Feb</c:v>
                  </c:pt>
                  <c:pt idx="20">
                    <c:v>14-Feb</c:v>
                  </c:pt>
                  <c:pt idx="21">
                    <c:v>15-Feb</c:v>
                  </c:pt>
                  <c:pt idx="22">
                    <c:v>18-Feb</c:v>
                  </c:pt>
                  <c:pt idx="23">
                    <c:v>19-Feb</c:v>
                  </c:pt>
                  <c:pt idx="24">
                    <c:v>23-Feb</c:v>
                  </c:pt>
                  <c:pt idx="25">
                    <c:v>25-Feb</c:v>
                  </c:pt>
                  <c:pt idx="26">
                    <c:v>1-Mar</c:v>
                  </c:pt>
                  <c:pt idx="27">
                    <c:v>4-Mar</c:v>
                  </c:pt>
                  <c:pt idx="28">
                    <c:v>9-Mar</c:v>
                  </c:pt>
                  <c:pt idx="29">
                    <c:v>11-Mar</c:v>
                  </c:pt>
                  <c:pt idx="30">
                    <c:v>12-Mar</c:v>
                  </c:pt>
                  <c:pt idx="31">
                    <c:v>15-Mar</c:v>
                  </c:pt>
                  <c:pt idx="32">
                    <c:v>18-Mar</c:v>
                  </c:pt>
                  <c:pt idx="33">
                    <c:v>19-Mar</c:v>
                  </c:pt>
                  <c:pt idx="34">
                    <c:v>20-Mar</c:v>
                  </c:pt>
                  <c:pt idx="35">
                    <c:v>21-Mar</c:v>
                  </c:pt>
                  <c:pt idx="36">
                    <c:v>22-Mar</c:v>
                  </c:pt>
                  <c:pt idx="37">
                    <c:v>26-Mar</c:v>
                  </c:pt>
                  <c:pt idx="38">
                    <c:v>27-Mar</c:v>
                  </c:pt>
                  <c:pt idx="39">
                    <c:v>30-Mar</c:v>
                  </c:pt>
                  <c:pt idx="40">
                    <c:v>1-Apr</c:v>
                  </c:pt>
                  <c:pt idx="41">
                    <c:v>9-Apr</c:v>
                  </c:pt>
                  <c:pt idx="42">
                    <c:v>13-Apr</c:v>
                  </c:pt>
                  <c:pt idx="44">
                    <c:v>15-Apr</c:v>
                  </c:pt>
                  <c:pt idx="46">
                    <c:v>18-Apr</c:v>
                  </c:pt>
                  <c:pt idx="47">
                    <c:v>20-Apr</c:v>
                  </c:pt>
                  <c:pt idx="48">
                    <c:v>22-Apr</c:v>
                  </c:pt>
                  <c:pt idx="49">
                    <c:v>27-Apr</c:v>
                  </c:pt>
                  <c:pt idx="50">
                    <c:v>29-Apr</c:v>
                  </c:pt>
                  <c:pt idx="51">
                    <c:v>30-Apr</c:v>
                  </c:pt>
                  <c:pt idx="52">
                    <c:v>1-May</c:v>
                  </c:pt>
                  <c:pt idx="53">
                    <c:v>4-May</c:v>
                  </c:pt>
                  <c:pt idx="54">
                    <c:v>5-May</c:v>
                  </c:pt>
                  <c:pt idx="55">
                    <c:v>7-May</c:v>
                  </c:pt>
                  <c:pt idx="56">
                    <c:v>8-May</c:v>
                  </c:pt>
                  <c:pt idx="57">
                    <c:v>11-May</c:v>
                  </c:pt>
                  <c:pt idx="58">
                    <c:v>16-May</c:v>
                  </c:pt>
                  <c:pt idx="59">
                    <c:v>17-May</c:v>
                  </c:pt>
                  <c:pt idx="60">
                    <c:v>18-May</c:v>
                  </c:pt>
                  <c:pt idx="61">
                    <c:v>19-May</c:v>
                  </c:pt>
                  <c:pt idx="62">
                    <c:v>22-May</c:v>
                  </c:pt>
                  <c:pt idx="63">
                    <c:v>24-May</c:v>
                  </c:pt>
                  <c:pt idx="64">
                    <c:v>25-May</c:v>
                  </c:pt>
                  <c:pt idx="65">
                    <c:v>26-May</c:v>
                  </c:pt>
                  <c:pt idx="66">
                    <c:v>29-May</c:v>
                  </c:pt>
                  <c:pt idx="67">
                    <c:v>30-May</c:v>
                  </c:pt>
                  <c:pt idx="68">
                    <c:v>2-Jun</c:v>
                  </c:pt>
                  <c:pt idx="69">
                    <c:v>10-Jun</c:v>
                  </c:pt>
                  <c:pt idx="70">
                    <c:v>13-Jun</c:v>
                  </c:pt>
                  <c:pt idx="71">
                    <c:v>24-Jun</c:v>
                  </c:pt>
                  <c:pt idx="72">
                    <c:v>28-Jun</c:v>
                  </c:pt>
                </c:lvl>
              </c:multiLvlStrCache>
            </c:multiLvlStrRef>
          </c:cat>
          <c:val>
            <c:numRef>
              <c:f>Chart!$C$4:$C$146</c:f>
              <c:numCache>
                <c:formatCode>General</c:formatCode>
                <c:ptCount val="73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2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2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2</c:v>
                </c:pt>
                <c:pt idx="61">
                  <c:v>2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62-4F68-8388-691E3813D2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954439"/>
        <c:axId val="823974407"/>
      </c:lineChart>
      <c:catAx>
        <c:axId val="823954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974407"/>
        <c:crosses val="autoZero"/>
        <c:auto val="1"/>
        <c:lblAlgn val="ctr"/>
        <c:lblOffset val="100"/>
        <c:noMultiLvlLbl val="0"/>
      </c:catAx>
      <c:valAx>
        <c:axId val="823974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954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[Cell Center PivotTable.xlsx]Chart!PivotTable2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Chart!$H$25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Chart!$G$26:$G$95</c:f>
              <c:strCache>
                <c:ptCount val="69"/>
                <c:pt idx="0">
                  <c:v>6-Jan</c:v>
                </c:pt>
                <c:pt idx="1">
                  <c:v>7-Jan</c:v>
                </c:pt>
                <c:pt idx="2">
                  <c:v>10-Jan</c:v>
                </c:pt>
                <c:pt idx="3">
                  <c:v>11-Jan</c:v>
                </c:pt>
                <c:pt idx="4">
                  <c:v>14-Jan</c:v>
                </c:pt>
                <c:pt idx="5">
                  <c:v>15-Jan</c:v>
                </c:pt>
                <c:pt idx="6">
                  <c:v>16-Jan</c:v>
                </c:pt>
                <c:pt idx="7">
                  <c:v>18-Jan</c:v>
                </c:pt>
                <c:pt idx="8">
                  <c:v>19-Jan</c:v>
                </c:pt>
                <c:pt idx="9">
                  <c:v>20-Jan</c:v>
                </c:pt>
                <c:pt idx="10">
                  <c:v>21-Jan</c:v>
                </c:pt>
                <c:pt idx="11">
                  <c:v>23-Jan</c:v>
                </c:pt>
                <c:pt idx="12">
                  <c:v>30-Jan</c:v>
                </c:pt>
                <c:pt idx="13">
                  <c:v>2-Feb</c:v>
                </c:pt>
                <c:pt idx="14">
                  <c:v>3-Feb</c:v>
                </c:pt>
                <c:pt idx="15">
                  <c:v>7-Feb</c:v>
                </c:pt>
                <c:pt idx="16">
                  <c:v>8-Feb</c:v>
                </c:pt>
                <c:pt idx="17">
                  <c:v>12-Feb</c:v>
                </c:pt>
                <c:pt idx="18">
                  <c:v>14-Feb</c:v>
                </c:pt>
                <c:pt idx="19">
                  <c:v>15-Feb</c:v>
                </c:pt>
                <c:pt idx="20">
                  <c:v>18-Feb</c:v>
                </c:pt>
                <c:pt idx="21">
                  <c:v>19-Feb</c:v>
                </c:pt>
                <c:pt idx="22">
                  <c:v>23-Feb</c:v>
                </c:pt>
                <c:pt idx="23">
                  <c:v>25-Feb</c:v>
                </c:pt>
                <c:pt idx="24">
                  <c:v>1-Mar</c:v>
                </c:pt>
                <c:pt idx="25">
                  <c:v>4-Mar</c:v>
                </c:pt>
                <c:pt idx="26">
                  <c:v>9-Mar</c:v>
                </c:pt>
                <c:pt idx="27">
                  <c:v>11-Mar</c:v>
                </c:pt>
                <c:pt idx="28">
                  <c:v>12-Mar</c:v>
                </c:pt>
                <c:pt idx="29">
                  <c:v>15-Mar</c:v>
                </c:pt>
                <c:pt idx="30">
                  <c:v>18-Mar</c:v>
                </c:pt>
                <c:pt idx="31">
                  <c:v>19-Mar</c:v>
                </c:pt>
                <c:pt idx="32">
                  <c:v>20-Mar</c:v>
                </c:pt>
                <c:pt idx="33">
                  <c:v>21-Mar</c:v>
                </c:pt>
                <c:pt idx="34">
                  <c:v>22-Mar</c:v>
                </c:pt>
                <c:pt idx="35">
                  <c:v>26-Mar</c:v>
                </c:pt>
                <c:pt idx="36">
                  <c:v>27-Mar</c:v>
                </c:pt>
                <c:pt idx="37">
                  <c:v>30-Mar</c:v>
                </c:pt>
                <c:pt idx="38">
                  <c:v>1-Apr</c:v>
                </c:pt>
                <c:pt idx="39">
                  <c:v>9-Apr</c:v>
                </c:pt>
                <c:pt idx="40">
                  <c:v>13-Apr</c:v>
                </c:pt>
                <c:pt idx="41">
                  <c:v>15-Apr</c:v>
                </c:pt>
                <c:pt idx="42">
                  <c:v>18-Apr</c:v>
                </c:pt>
                <c:pt idx="43">
                  <c:v>20-Apr</c:v>
                </c:pt>
                <c:pt idx="44">
                  <c:v>22-Apr</c:v>
                </c:pt>
                <c:pt idx="45">
                  <c:v>27-Apr</c:v>
                </c:pt>
                <c:pt idx="46">
                  <c:v>29-Apr</c:v>
                </c:pt>
                <c:pt idx="47">
                  <c:v>30-Apr</c:v>
                </c:pt>
                <c:pt idx="48">
                  <c:v>1-May</c:v>
                </c:pt>
                <c:pt idx="49">
                  <c:v>4-May</c:v>
                </c:pt>
                <c:pt idx="50">
                  <c:v>5-May</c:v>
                </c:pt>
                <c:pt idx="51">
                  <c:v>7-May</c:v>
                </c:pt>
                <c:pt idx="52">
                  <c:v>8-May</c:v>
                </c:pt>
                <c:pt idx="53">
                  <c:v>11-May</c:v>
                </c:pt>
                <c:pt idx="54">
                  <c:v>16-May</c:v>
                </c:pt>
                <c:pt idx="55">
                  <c:v>17-May</c:v>
                </c:pt>
                <c:pt idx="56">
                  <c:v>18-May</c:v>
                </c:pt>
                <c:pt idx="57">
                  <c:v>19-May</c:v>
                </c:pt>
                <c:pt idx="58">
                  <c:v>22-May</c:v>
                </c:pt>
                <c:pt idx="59">
                  <c:v>24-May</c:v>
                </c:pt>
                <c:pt idx="60">
                  <c:v>25-May</c:v>
                </c:pt>
                <c:pt idx="61">
                  <c:v>26-May</c:v>
                </c:pt>
                <c:pt idx="62">
                  <c:v>29-May</c:v>
                </c:pt>
                <c:pt idx="63">
                  <c:v>30-May</c:v>
                </c:pt>
                <c:pt idx="64">
                  <c:v>2-Jun</c:v>
                </c:pt>
                <c:pt idx="65">
                  <c:v>10-Jun</c:v>
                </c:pt>
                <c:pt idx="66">
                  <c:v>13-Jun</c:v>
                </c:pt>
                <c:pt idx="67">
                  <c:v>24-Jun</c:v>
                </c:pt>
                <c:pt idx="68">
                  <c:v>28-Jun</c:v>
                </c:pt>
              </c:strCache>
            </c:strRef>
          </c:cat>
          <c:val>
            <c:numRef>
              <c:f>Chart!$H$26:$H$95</c:f>
              <c:numCache>
                <c:formatCode>General</c:formatCode>
                <c:ptCount val="69"/>
                <c:pt idx="0">
                  <c:v>182</c:v>
                </c:pt>
                <c:pt idx="1">
                  <c:v>178</c:v>
                </c:pt>
                <c:pt idx="2">
                  <c:v>230</c:v>
                </c:pt>
                <c:pt idx="3">
                  <c:v>306</c:v>
                </c:pt>
                <c:pt idx="4">
                  <c:v>99</c:v>
                </c:pt>
                <c:pt idx="5">
                  <c:v>71</c:v>
                </c:pt>
                <c:pt idx="6">
                  <c:v>90</c:v>
                </c:pt>
                <c:pt idx="7">
                  <c:v>162</c:v>
                </c:pt>
                <c:pt idx="8">
                  <c:v>25</c:v>
                </c:pt>
                <c:pt idx="9">
                  <c:v>161</c:v>
                </c:pt>
                <c:pt idx="10">
                  <c:v>117</c:v>
                </c:pt>
                <c:pt idx="11">
                  <c:v>161</c:v>
                </c:pt>
                <c:pt idx="12">
                  <c:v>51</c:v>
                </c:pt>
                <c:pt idx="13">
                  <c:v>190</c:v>
                </c:pt>
                <c:pt idx="14">
                  <c:v>278</c:v>
                </c:pt>
                <c:pt idx="15">
                  <c:v>177</c:v>
                </c:pt>
                <c:pt idx="16">
                  <c:v>69</c:v>
                </c:pt>
                <c:pt idx="17">
                  <c:v>77</c:v>
                </c:pt>
                <c:pt idx="18">
                  <c:v>181</c:v>
                </c:pt>
                <c:pt idx="19">
                  <c:v>115</c:v>
                </c:pt>
                <c:pt idx="20">
                  <c:v>75</c:v>
                </c:pt>
                <c:pt idx="21">
                  <c:v>193</c:v>
                </c:pt>
                <c:pt idx="22">
                  <c:v>193</c:v>
                </c:pt>
                <c:pt idx="23">
                  <c:v>199</c:v>
                </c:pt>
                <c:pt idx="24">
                  <c:v>139</c:v>
                </c:pt>
                <c:pt idx="25">
                  <c:v>145</c:v>
                </c:pt>
                <c:pt idx="26">
                  <c:v>40</c:v>
                </c:pt>
                <c:pt idx="27">
                  <c:v>95</c:v>
                </c:pt>
                <c:pt idx="28">
                  <c:v>21</c:v>
                </c:pt>
                <c:pt idx="29">
                  <c:v>122</c:v>
                </c:pt>
                <c:pt idx="30">
                  <c:v>173</c:v>
                </c:pt>
                <c:pt idx="31">
                  <c:v>31</c:v>
                </c:pt>
                <c:pt idx="32">
                  <c:v>179</c:v>
                </c:pt>
                <c:pt idx="33">
                  <c:v>180</c:v>
                </c:pt>
                <c:pt idx="34">
                  <c:v>179</c:v>
                </c:pt>
                <c:pt idx="35">
                  <c:v>115</c:v>
                </c:pt>
                <c:pt idx="36">
                  <c:v>33</c:v>
                </c:pt>
                <c:pt idx="37">
                  <c:v>118</c:v>
                </c:pt>
                <c:pt idx="38">
                  <c:v>76</c:v>
                </c:pt>
                <c:pt idx="39">
                  <c:v>69</c:v>
                </c:pt>
                <c:pt idx="40">
                  <c:v>127</c:v>
                </c:pt>
                <c:pt idx="41">
                  <c:v>480</c:v>
                </c:pt>
                <c:pt idx="42">
                  <c:v>66</c:v>
                </c:pt>
                <c:pt idx="43">
                  <c:v>153</c:v>
                </c:pt>
                <c:pt idx="44">
                  <c:v>55</c:v>
                </c:pt>
                <c:pt idx="45">
                  <c:v>93</c:v>
                </c:pt>
                <c:pt idx="46">
                  <c:v>56</c:v>
                </c:pt>
                <c:pt idx="47">
                  <c:v>145</c:v>
                </c:pt>
                <c:pt idx="48">
                  <c:v>142</c:v>
                </c:pt>
                <c:pt idx="49">
                  <c:v>98</c:v>
                </c:pt>
                <c:pt idx="50">
                  <c:v>66</c:v>
                </c:pt>
                <c:pt idx="51">
                  <c:v>19</c:v>
                </c:pt>
                <c:pt idx="52">
                  <c:v>159</c:v>
                </c:pt>
                <c:pt idx="53">
                  <c:v>44</c:v>
                </c:pt>
                <c:pt idx="54">
                  <c:v>50</c:v>
                </c:pt>
                <c:pt idx="55">
                  <c:v>196</c:v>
                </c:pt>
                <c:pt idx="56">
                  <c:v>318</c:v>
                </c:pt>
                <c:pt idx="57">
                  <c:v>341</c:v>
                </c:pt>
                <c:pt idx="58">
                  <c:v>68</c:v>
                </c:pt>
                <c:pt idx="59">
                  <c:v>147</c:v>
                </c:pt>
                <c:pt idx="60">
                  <c:v>179</c:v>
                </c:pt>
                <c:pt idx="61">
                  <c:v>87</c:v>
                </c:pt>
                <c:pt idx="62">
                  <c:v>178</c:v>
                </c:pt>
                <c:pt idx="63">
                  <c:v>121</c:v>
                </c:pt>
                <c:pt idx="64">
                  <c:v>82</c:v>
                </c:pt>
                <c:pt idx="65">
                  <c:v>64</c:v>
                </c:pt>
                <c:pt idx="66">
                  <c:v>135</c:v>
                </c:pt>
                <c:pt idx="67">
                  <c:v>118</c:v>
                </c:pt>
                <c:pt idx="68">
                  <c:v>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D3-4020-97ED-A56C904CC4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72616"/>
        <c:axId val="5578760"/>
      </c:areaChart>
      <c:catAx>
        <c:axId val="5572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8760"/>
        <c:crosses val="autoZero"/>
        <c:auto val="1"/>
        <c:lblAlgn val="ctr"/>
        <c:lblOffset val="100"/>
        <c:noMultiLvlLbl val="0"/>
      </c:catAx>
      <c:valAx>
        <c:axId val="5578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2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228600</xdr:colOff>
      <xdr:row>1</xdr:row>
      <xdr:rowOff>95250</xdr:rowOff>
    </xdr:from>
    <xdr:to>
      <xdr:col>5</xdr:col>
      <xdr:colOff>228600</xdr:colOff>
      <xdr:row>15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Representative">
              <a:extLst>
                <a:ext uri="{FF2B5EF4-FFF2-40B4-BE49-F238E27FC236}">
                  <a16:creationId xmlns:a16="http://schemas.microsoft.com/office/drawing/2014/main" id="{C5309873-196A-3352-CE17-15CE003773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presentativ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90825" y="2857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5</xdr:col>
      <xdr:colOff>419100</xdr:colOff>
      <xdr:row>1</xdr:row>
      <xdr:rowOff>123825</xdr:rowOff>
    </xdr:from>
    <xdr:to>
      <xdr:col>10</xdr:col>
      <xdr:colOff>533400</xdr:colOff>
      <xdr:row>14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DD6D90-63B0-F15D-AE72-FD1099970780}"/>
            </a:ext>
            <a:ext uri="{147F2762-F138-4A5C-976F-8EAC2B608ADB}">
              <a16:predDERef xmlns:a16="http://schemas.microsoft.com/office/drawing/2014/main" pred="{C5309873-196A-3352-CE17-15CE003773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228600</xdr:colOff>
      <xdr:row>3</xdr:row>
      <xdr:rowOff>38100</xdr:rowOff>
    </xdr:from>
    <xdr:to>
      <xdr:col>14</xdr:col>
      <xdr:colOff>0</xdr:colOff>
      <xdr:row>17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CE866B-0BE5-77AD-FB22-A934D5E545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257175</xdr:colOff>
      <xdr:row>2</xdr:row>
      <xdr:rowOff>76200</xdr:rowOff>
    </xdr:from>
    <xdr:to>
      <xdr:col>7</xdr:col>
      <xdr:colOff>276225</xdr:colOff>
      <xdr:row>16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Representative 1">
              <a:extLst>
                <a:ext uri="{FF2B5EF4-FFF2-40B4-BE49-F238E27FC236}">
                  <a16:creationId xmlns:a16="http://schemas.microsoft.com/office/drawing/2014/main" id="{6022821F-7D55-B42E-CF39-2A4CDF94230F}"/>
                </a:ext>
                <a:ext uri="{147F2762-F138-4A5C-976F-8EAC2B608ADB}">
                  <a16:predDERef xmlns:a16="http://schemas.microsoft.com/office/drawing/2014/main" pred="{C1CE866B-0BE5-77AD-FB22-A934D5E545A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presentativ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14750" y="4572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8</xdr:col>
      <xdr:colOff>95250</xdr:colOff>
      <xdr:row>19</xdr:row>
      <xdr:rowOff>0</xdr:rowOff>
    </xdr:from>
    <xdr:to>
      <xdr:col>16</xdr:col>
      <xdr:colOff>409575</xdr:colOff>
      <xdr:row>36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45DD236-54EB-9D01-3F05-00A17A82D03D}"/>
            </a:ext>
            <a:ext uri="{147F2762-F138-4A5C-976F-8EAC2B608ADB}">
              <a16:predDERef xmlns:a16="http://schemas.microsoft.com/office/drawing/2014/main" pred="{6022821F-7D55-B42E-CF39-2A4CDF9423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56.873576851853" createdVersion="8" refreshedVersion="8" minRefreshableVersion="3" recordCount="200" xr:uid="{756F0128-CE7E-41A8-8F97-6EE718514B3A}">
  <cacheSource type="worksheet">
    <worksheetSource name="Table1"/>
  </cacheSource>
  <cacheFields count="10">
    <cacheField name="Call Number" numFmtId="0">
      <sharedItems/>
    </cacheField>
    <cacheField name="Customer ID" numFmtId="0">
      <sharedItems count="29">
        <s v="C0006"/>
        <s v="C0001"/>
        <s v="C0019"/>
        <s v="C0003"/>
        <s v="C0010"/>
        <s v="C0009"/>
        <s v="C0024"/>
        <s v="C0012"/>
        <s v="C0022"/>
        <s v="C0005"/>
        <s v="C0020"/>
        <s v="C0015"/>
        <s v="C0023"/>
        <s v="C0013"/>
        <s v="C0011"/>
        <s v="C0030"/>
        <s v="C0021"/>
        <s v="C0028"/>
        <s v="C0016"/>
        <s v="C0007"/>
        <s v="C0004"/>
        <s v="C0018"/>
        <s v="C0002"/>
        <s v="C0029"/>
        <s v="C0027"/>
        <s v="C0017"/>
        <s v="C0014"/>
        <s v="C0008"/>
        <s v="C0025"/>
      </sharedItems>
    </cacheField>
    <cacheField name="Duration" numFmtId="0">
      <sharedItems containsSemiMixedTypes="0" containsString="0" containsNumber="1" containsInteger="1" minValue="15" maxValue="179" count="117">
        <n v="139"/>
        <n v="38"/>
        <n v="161"/>
        <n v="25"/>
        <n v="53"/>
        <n v="117"/>
        <n v="148"/>
        <n v="40"/>
        <n v="74"/>
        <n v="174"/>
        <n v="177"/>
        <n v="109"/>
        <n v="121"/>
        <n v="125"/>
        <n v="45"/>
        <n v="35"/>
        <n v="88"/>
        <n v="92"/>
        <n v="142"/>
        <n v="63"/>
        <n v="69"/>
        <n v="76"/>
        <n v="136"/>
        <n v="86"/>
        <n v="28"/>
        <n v="43"/>
        <n v="151"/>
        <n v="99"/>
        <n v="124"/>
        <n v="138"/>
        <n v="145"/>
        <n v="147"/>
        <n v="112"/>
        <n v="175"/>
        <n v="89"/>
        <n v="97"/>
        <n v="55"/>
        <n v="61"/>
        <n v="19"/>
        <n v="105"/>
        <n v="36"/>
        <n v="18"/>
        <n v="75"/>
        <n v="93"/>
        <n v="15"/>
        <n v="167"/>
        <n v="153"/>
        <n v="163"/>
        <n v="137"/>
        <n v="65"/>
        <n v="91"/>
        <n v="113"/>
        <n v="39"/>
        <n v="103"/>
        <n v="84"/>
        <n v="176"/>
        <n v="132"/>
        <n v="83"/>
        <n v="156"/>
        <n v="79"/>
        <n v="110"/>
        <n v="123"/>
        <n v="90"/>
        <n v="57"/>
        <n v="54"/>
        <n v="165"/>
        <n v="26"/>
        <n v="128"/>
        <n v="116"/>
        <n v="118"/>
        <n v="46"/>
        <n v="73"/>
        <n v="94"/>
        <n v="100"/>
        <n v="144"/>
        <n v="134"/>
        <n v="20"/>
        <n v="87"/>
        <n v="41"/>
        <n v="78"/>
        <n v="17"/>
        <n v="166"/>
        <n v="50"/>
        <n v="62"/>
        <n v="22"/>
        <n v="115"/>
        <n v="42"/>
        <n v="119"/>
        <n v="59"/>
        <n v="114"/>
        <n v="98"/>
        <n v="154"/>
        <n v="70"/>
        <n v="178"/>
        <n v="33"/>
        <n v="64"/>
        <n v="82"/>
        <n v="122"/>
        <n v="16"/>
        <n v="77"/>
        <n v="30"/>
        <n v="135"/>
        <n v="173"/>
        <n v="164"/>
        <n v="140"/>
        <n v="72"/>
        <n v="179"/>
        <n v="68"/>
        <n v="170"/>
        <n v="66"/>
        <n v="162"/>
        <n v="104"/>
        <n v="129"/>
        <n v="152"/>
        <n v="157"/>
        <n v="169"/>
        <n v="60"/>
      </sharedItems>
    </cacheField>
    <cacheField name="Representative" numFmtId="0">
      <sharedItems count="5">
        <s v="R02"/>
        <s v="R03"/>
        <s v="R05"/>
        <s v="R04"/>
        <s v="R01"/>
      </sharedItems>
    </cacheField>
    <cacheField name="Date of Call" numFmtId="16">
      <sharedItems containsSemiMixedTypes="0" containsNonDate="0" containsDate="1" containsString="0" minDate="2026-01-05T00:00:00" maxDate="2026-06-30T00:00:00" count="124">
        <d v="2026-04-01T00:00:00"/>
        <d v="2026-03-01T00:00:00"/>
        <d v="2026-05-01T00:00:00"/>
        <d v="2026-01-10T00:00:00"/>
        <d v="2026-06-10T00:00:00"/>
        <d v="2026-05-10T00:00:00"/>
        <d v="2026-01-11T00:00:00"/>
        <d v="2026-03-11T00:00:00"/>
        <d v="2026-05-11T00:00:00"/>
        <d v="2026-04-12T00:00:00"/>
        <d v="2026-02-12T00:00:00"/>
        <d v="2026-06-12T00:00:00"/>
        <d v="2026-03-12T00:00:00"/>
        <d v="2026-05-12T00:00:00"/>
        <d v="2026-04-13T00:00:00"/>
        <d v="2026-02-13T00:00:00"/>
        <d v="2026-01-13T00:00:00"/>
        <d v="2026-06-13T00:00:00"/>
        <d v="2026-03-13T00:00:00"/>
        <d v="2026-04-14T00:00:00"/>
        <d v="2026-02-14T00:00:00"/>
        <d v="2026-01-14T00:00:00"/>
        <d v="2026-03-14T00:00:00"/>
        <d v="2026-04-15T00:00:00"/>
        <d v="2026-02-15T00:00:00"/>
        <d v="2026-01-15T00:00:00"/>
        <d v="2026-03-15T00:00:00"/>
        <d v="2026-04-16T00:00:00"/>
        <d v="2026-01-16T00:00:00"/>
        <d v="2026-05-16T00:00:00"/>
        <d v="2026-04-17T00:00:00"/>
        <d v="2026-05-17T00:00:00"/>
        <d v="2026-04-18T00:00:00"/>
        <d v="2026-02-18T00:00:00"/>
        <d v="2026-01-18T00:00:00"/>
        <d v="2026-06-18T00:00:00"/>
        <d v="2026-03-18T00:00:00"/>
        <d v="2026-05-18T00:00:00"/>
        <d v="2026-02-19T00:00:00"/>
        <d v="2026-01-19T00:00:00"/>
        <d v="2026-06-19T00:00:00"/>
        <d v="2026-03-19T00:00:00"/>
        <d v="2026-05-19T00:00:00"/>
        <d v="2026-02-02T00:00:00"/>
        <d v="2026-06-02T00:00:00"/>
        <d v="2026-03-02T00:00:00"/>
        <d v="2026-05-02T00:00:00"/>
        <d v="2026-04-20T00:00:00"/>
        <d v="2026-01-20T00:00:00"/>
        <d v="2026-03-20T00:00:00"/>
        <d v="2026-04-21T00:00:00"/>
        <d v="2026-01-21T00:00:00"/>
        <d v="2026-06-21T00:00:00"/>
        <d v="2026-03-21T00:00:00"/>
        <d v="2026-05-21T00:00:00"/>
        <d v="2026-04-22T00:00:00"/>
        <d v="2026-02-22T00:00:00"/>
        <d v="2026-06-22T00:00:00"/>
        <d v="2026-03-22T00:00:00"/>
        <d v="2026-05-22T00:00:00"/>
        <d v="2026-04-23T00:00:00"/>
        <d v="2026-02-23T00:00:00"/>
        <d v="2026-01-23T00:00:00"/>
        <d v="2026-06-23T00:00:00"/>
        <d v="2026-05-23T00:00:00"/>
        <d v="2026-04-24T00:00:00"/>
        <d v="2026-02-24T00:00:00"/>
        <d v="2026-01-24T00:00:00"/>
        <d v="2026-06-24T00:00:00"/>
        <d v="2026-03-24T00:00:00"/>
        <d v="2026-05-24T00:00:00"/>
        <d v="2026-04-25T00:00:00"/>
        <d v="2026-02-25T00:00:00"/>
        <d v="2026-03-25T00:00:00"/>
        <d v="2026-05-25T00:00:00"/>
        <d v="2026-04-26T00:00:00"/>
        <d v="2026-02-26T00:00:00"/>
        <d v="2026-06-26T00:00:00"/>
        <d v="2026-03-26T00:00:00"/>
        <d v="2026-05-26T00:00:00"/>
        <d v="2026-04-27T00:00:00"/>
        <d v="2026-02-27T00:00:00"/>
        <d v="2026-01-27T00:00:00"/>
        <d v="2026-03-27T00:00:00"/>
        <d v="2026-04-28T00:00:00"/>
        <d v="2026-02-28T00:00:00"/>
        <d v="2026-01-28T00:00:00"/>
        <d v="2026-06-28T00:00:00"/>
        <d v="2026-03-28T00:00:00"/>
        <d v="2026-05-28T00:00:00"/>
        <d v="2026-04-29T00:00:00"/>
        <d v="2026-01-29T00:00:00"/>
        <d v="2026-06-29T00:00:00"/>
        <d v="2026-05-29T00:00:00"/>
        <d v="2026-02-03T00:00:00"/>
        <d v="2026-05-03T00:00:00"/>
        <d v="2026-04-30T00:00:00"/>
        <d v="2026-01-30T00:00:00"/>
        <d v="2026-03-30T00:00:00"/>
        <d v="2026-05-30T00:00:00"/>
        <d v="2026-01-31T00:00:00"/>
        <d v="2026-03-31T00:00:00"/>
        <d v="2026-02-04T00:00:00"/>
        <d v="2026-03-04T00:00:00"/>
        <d v="2026-05-04T00:00:00"/>
        <d v="2026-02-05T00:00:00"/>
        <d v="2026-01-05T00:00:00"/>
        <d v="2026-06-05T00:00:00"/>
        <d v="2026-03-05T00:00:00"/>
        <d v="2026-05-05T00:00:00"/>
        <d v="2026-01-06T00:00:00"/>
        <d v="2026-06-06T00:00:00"/>
        <d v="2026-02-07T00:00:00"/>
        <d v="2026-01-07T00:00:00"/>
        <d v="2026-05-07T00:00:00"/>
        <d v="2026-04-08T00:00:00"/>
        <d v="2026-02-08T00:00:00"/>
        <d v="2026-01-08T00:00:00"/>
        <d v="2026-03-08T00:00:00"/>
        <d v="2026-05-08T00:00:00"/>
        <d v="2026-04-09T00:00:00"/>
        <d v="2026-02-09T00:00:00"/>
        <d v="2026-03-09T00:00:00"/>
        <d v="2026-05-09T00:00:00"/>
      </sharedItems>
    </cacheField>
    <cacheField name="Purchase Amount" numFmtId="0">
      <sharedItems containsSemiMixedTypes="0" containsString="0" containsNumber="1" containsInteger="1" minValue="12" maxValue="200"/>
    </cacheField>
    <cacheField name="Satisfaction Rating" numFmtId="0">
      <sharedItems containsSemiMixedTypes="0" containsString="0" containsNumber="1" minValue="1" maxValue="5"/>
    </cacheField>
    <cacheField name="Date of Week" numFmtId="0">
      <sharedItems count="7">
        <s v="Wednesday"/>
        <s v="Sunday"/>
        <s v="Friday"/>
        <s v="Saturday"/>
        <s v="Monday"/>
        <s v="Thursday"/>
        <s v="Tuesday"/>
      </sharedItems>
    </cacheField>
    <cacheField name="Duraration Buckes" numFmtId="0">
      <sharedItems count="4">
        <s v="More than 2 hours"/>
        <s v="30 to 60 min"/>
        <s v="10 to 30 mins"/>
        <s v="1to2 hours"/>
      </sharedItems>
    </cacheField>
    <cacheField name="Rating Rounded" numFmtId="0">
      <sharedItems containsSemiMixedTypes="0" containsString="0" containsNumber="1" containsInteger="1" minValue="1" maxValue="5" count="5">
        <n v="2"/>
        <n v="3"/>
        <n v="4"/>
        <n v="1"/>
        <n v="5"/>
      </sharedItems>
    </cacheField>
  </cacheFields>
  <extLst>
    <ext xmlns:x14="http://schemas.microsoft.com/office/spreadsheetml/2009/9/main" uri="{725AE2AE-9491-48be-B2B4-4EB974FC3084}">
      <x14:pivotCacheDefinition pivotCacheId="49009407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Call_7401"/>
    <x v="0"/>
    <x v="0"/>
    <x v="0"/>
    <x v="0"/>
    <n v="76"/>
    <n v="2.4"/>
    <x v="0"/>
    <x v="0"/>
    <x v="0"/>
  </r>
  <r>
    <s v="Call_7273"/>
    <x v="1"/>
    <x v="1"/>
    <x v="0"/>
    <x v="1"/>
    <n v="139"/>
    <n v="3.4"/>
    <x v="1"/>
    <x v="1"/>
    <x v="1"/>
  </r>
  <r>
    <s v="Call_7414"/>
    <x v="1"/>
    <x v="2"/>
    <x v="1"/>
    <x v="2"/>
    <n v="132"/>
    <n v="2.8"/>
    <x v="2"/>
    <x v="0"/>
    <x v="1"/>
  </r>
  <r>
    <s v="Call_7433"/>
    <x v="2"/>
    <x v="3"/>
    <x v="0"/>
    <x v="2"/>
    <n v="142"/>
    <n v="3.6"/>
    <x v="2"/>
    <x v="2"/>
    <x v="2"/>
  </r>
  <r>
    <s v="Call_7337"/>
    <x v="3"/>
    <x v="4"/>
    <x v="2"/>
    <x v="3"/>
    <n v="104"/>
    <n v="3.3"/>
    <x v="3"/>
    <x v="1"/>
    <x v="1"/>
  </r>
  <r>
    <s v="Call_7437"/>
    <x v="4"/>
    <x v="5"/>
    <x v="2"/>
    <x v="3"/>
    <n v="126"/>
    <n v="1.4"/>
    <x v="3"/>
    <x v="3"/>
    <x v="3"/>
  </r>
  <r>
    <s v="Call_7371"/>
    <x v="5"/>
    <x v="6"/>
    <x v="3"/>
    <x v="4"/>
    <n v="71"/>
    <n v="2.1"/>
    <x v="0"/>
    <x v="0"/>
    <x v="0"/>
  </r>
  <r>
    <s v="Call_7421"/>
    <x v="6"/>
    <x v="7"/>
    <x v="0"/>
    <x v="4"/>
    <n v="64"/>
    <n v="2.1"/>
    <x v="0"/>
    <x v="1"/>
    <x v="0"/>
  </r>
  <r>
    <s v="Call_7425"/>
    <x v="3"/>
    <x v="8"/>
    <x v="1"/>
    <x v="4"/>
    <n v="160"/>
    <n v="3.6"/>
    <x v="0"/>
    <x v="3"/>
    <x v="2"/>
  </r>
  <r>
    <s v="Call_7440"/>
    <x v="7"/>
    <x v="9"/>
    <x v="3"/>
    <x v="4"/>
    <n v="123"/>
    <n v="4"/>
    <x v="0"/>
    <x v="0"/>
    <x v="2"/>
  </r>
  <r>
    <s v="Call_7333"/>
    <x v="8"/>
    <x v="10"/>
    <x v="1"/>
    <x v="5"/>
    <n v="135"/>
    <n v="2"/>
    <x v="1"/>
    <x v="0"/>
    <x v="0"/>
  </r>
  <r>
    <s v="Call_7394"/>
    <x v="8"/>
    <x v="11"/>
    <x v="4"/>
    <x v="5"/>
    <n v="175"/>
    <n v="2.4"/>
    <x v="1"/>
    <x v="3"/>
    <x v="0"/>
  </r>
  <r>
    <s v="Call_7448"/>
    <x v="5"/>
    <x v="12"/>
    <x v="1"/>
    <x v="5"/>
    <n v="78"/>
    <n v="4.3"/>
    <x v="1"/>
    <x v="0"/>
    <x v="2"/>
  </r>
  <r>
    <s v="Call_7338"/>
    <x v="9"/>
    <x v="13"/>
    <x v="0"/>
    <x v="6"/>
    <n v="88"/>
    <n v="2.5"/>
    <x v="1"/>
    <x v="0"/>
    <x v="1"/>
  </r>
  <r>
    <s v="Call_7393"/>
    <x v="10"/>
    <x v="14"/>
    <x v="2"/>
    <x v="6"/>
    <n v="98"/>
    <n v="3.1"/>
    <x v="1"/>
    <x v="1"/>
    <x v="1"/>
  </r>
  <r>
    <s v="Call_7430"/>
    <x v="11"/>
    <x v="15"/>
    <x v="2"/>
    <x v="6"/>
    <n v="120"/>
    <n v="3.9"/>
    <x v="1"/>
    <x v="1"/>
    <x v="2"/>
  </r>
  <r>
    <s v="Call_7372"/>
    <x v="3"/>
    <x v="16"/>
    <x v="0"/>
    <x v="7"/>
    <n v="95"/>
    <n v="2.2999999999999998"/>
    <x v="0"/>
    <x v="3"/>
    <x v="0"/>
  </r>
  <r>
    <s v="Call_7429"/>
    <x v="12"/>
    <x v="17"/>
    <x v="3"/>
    <x v="7"/>
    <n v="138"/>
    <n v="3.2"/>
    <x v="0"/>
    <x v="3"/>
    <x v="1"/>
  </r>
  <r>
    <s v="Call_7445"/>
    <x v="9"/>
    <x v="18"/>
    <x v="1"/>
    <x v="8"/>
    <n v="190"/>
    <n v="2.1"/>
    <x v="4"/>
    <x v="0"/>
    <x v="0"/>
  </r>
  <r>
    <s v="Call_7447"/>
    <x v="13"/>
    <x v="19"/>
    <x v="2"/>
    <x v="8"/>
    <n v="44"/>
    <n v="4.5"/>
    <x v="4"/>
    <x v="3"/>
    <x v="4"/>
  </r>
  <r>
    <s v="Call_7287"/>
    <x v="14"/>
    <x v="20"/>
    <x v="3"/>
    <x v="9"/>
    <n v="174"/>
    <n v="2.8"/>
    <x v="1"/>
    <x v="3"/>
    <x v="1"/>
  </r>
  <r>
    <s v="Call_7325"/>
    <x v="14"/>
    <x v="21"/>
    <x v="1"/>
    <x v="9"/>
    <n v="43"/>
    <n v="3.7"/>
    <x v="1"/>
    <x v="3"/>
    <x v="2"/>
  </r>
  <r>
    <s v="Call_7301"/>
    <x v="9"/>
    <x v="22"/>
    <x v="2"/>
    <x v="10"/>
    <n v="77"/>
    <n v="3.1"/>
    <x v="5"/>
    <x v="0"/>
    <x v="1"/>
  </r>
  <r>
    <s v="Call_7281"/>
    <x v="13"/>
    <x v="23"/>
    <x v="3"/>
    <x v="11"/>
    <n v="103"/>
    <n v="1.7"/>
    <x v="2"/>
    <x v="3"/>
    <x v="0"/>
  </r>
  <r>
    <s v="Call_7334"/>
    <x v="15"/>
    <x v="24"/>
    <x v="4"/>
    <x v="11"/>
    <n v="118"/>
    <n v="4.3"/>
    <x v="2"/>
    <x v="2"/>
    <x v="2"/>
  </r>
  <r>
    <s v="Call_7271"/>
    <x v="16"/>
    <x v="25"/>
    <x v="4"/>
    <x v="12"/>
    <n v="72"/>
    <n v="1.9"/>
    <x v="5"/>
    <x v="1"/>
    <x v="0"/>
  </r>
  <r>
    <s v="Call_7412"/>
    <x v="1"/>
    <x v="26"/>
    <x v="0"/>
    <x v="12"/>
    <n v="21"/>
    <n v="4.9000000000000004"/>
    <x v="5"/>
    <x v="0"/>
    <x v="4"/>
  </r>
  <r>
    <s v="Call_7307"/>
    <x v="17"/>
    <x v="27"/>
    <x v="4"/>
    <x v="13"/>
    <n v="70"/>
    <n v="2.1"/>
    <x v="6"/>
    <x v="3"/>
    <x v="0"/>
  </r>
  <r>
    <s v="Call_7289"/>
    <x v="2"/>
    <x v="28"/>
    <x v="2"/>
    <x v="14"/>
    <n v="102"/>
    <n v="1.9"/>
    <x v="4"/>
    <x v="0"/>
    <x v="0"/>
  </r>
  <r>
    <s v="Call_7316"/>
    <x v="18"/>
    <x v="29"/>
    <x v="0"/>
    <x v="14"/>
    <n v="25"/>
    <n v="1.7"/>
    <x v="4"/>
    <x v="0"/>
    <x v="0"/>
  </r>
  <r>
    <s v="Call_7359"/>
    <x v="19"/>
    <x v="30"/>
    <x v="3"/>
    <x v="15"/>
    <n v="178"/>
    <n v="1.3"/>
    <x v="2"/>
    <x v="0"/>
    <x v="3"/>
  </r>
  <r>
    <s v="Call_7366"/>
    <x v="12"/>
    <x v="31"/>
    <x v="3"/>
    <x v="16"/>
    <n v="152"/>
    <n v="2"/>
    <x v="6"/>
    <x v="0"/>
    <x v="0"/>
  </r>
  <r>
    <s v="Call_7284"/>
    <x v="11"/>
    <x v="32"/>
    <x v="1"/>
    <x v="17"/>
    <n v="186"/>
    <n v="3.2"/>
    <x v="3"/>
    <x v="3"/>
    <x v="1"/>
  </r>
  <r>
    <s v="Call_7296"/>
    <x v="20"/>
    <x v="33"/>
    <x v="1"/>
    <x v="17"/>
    <n v="139"/>
    <n v="3.4"/>
    <x v="3"/>
    <x v="0"/>
    <x v="1"/>
  </r>
  <r>
    <s v="Call_7413"/>
    <x v="21"/>
    <x v="34"/>
    <x v="0"/>
    <x v="17"/>
    <n v="135"/>
    <n v="1.4"/>
    <x v="3"/>
    <x v="3"/>
    <x v="3"/>
  </r>
  <r>
    <s v="Call_7346"/>
    <x v="14"/>
    <x v="23"/>
    <x v="4"/>
    <x v="18"/>
    <n v="99"/>
    <n v="3.6"/>
    <x v="2"/>
    <x v="3"/>
    <x v="2"/>
  </r>
  <r>
    <s v="Call_7438"/>
    <x v="5"/>
    <x v="35"/>
    <x v="4"/>
    <x v="19"/>
    <n v="141"/>
    <n v="4.3"/>
    <x v="6"/>
    <x v="3"/>
    <x v="2"/>
  </r>
  <r>
    <s v="Call_7422"/>
    <x v="3"/>
    <x v="36"/>
    <x v="0"/>
    <x v="20"/>
    <n v="151"/>
    <n v="1.3"/>
    <x v="3"/>
    <x v="1"/>
    <x v="3"/>
  </r>
  <r>
    <s v="Call_7464"/>
    <x v="8"/>
    <x v="37"/>
    <x v="0"/>
    <x v="20"/>
    <n v="30"/>
    <n v="3.4"/>
    <x v="3"/>
    <x v="3"/>
    <x v="1"/>
  </r>
  <r>
    <s v="Call_7385"/>
    <x v="18"/>
    <x v="38"/>
    <x v="2"/>
    <x v="21"/>
    <n v="99"/>
    <n v="1.9"/>
    <x v="0"/>
    <x v="2"/>
    <x v="0"/>
  </r>
  <r>
    <s v="Call_7424"/>
    <x v="22"/>
    <x v="8"/>
    <x v="1"/>
    <x v="22"/>
    <n v="189"/>
    <n v="4.4000000000000004"/>
    <x v="3"/>
    <x v="3"/>
    <x v="2"/>
  </r>
  <r>
    <s v="Call_7340"/>
    <x v="20"/>
    <x v="39"/>
    <x v="2"/>
    <x v="23"/>
    <n v="168"/>
    <n v="4"/>
    <x v="0"/>
    <x v="3"/>
    <x v="2"/>
  </r>
  <r>
    <s v="Call_7403"/>
    <x v="19"/>
    <x v="40"/>
    <x v="0"/>
    <x v="23"/>
    <n v="135"/>
    <n v="3.2"/>
    <x v="0"/>
    <x v="1"/>
    <x v="1"/>
  </r>
  <r>
    <s v="Call_7456"/>
    <x v="11"/>
    <x v="41"/>
    <x v="0"/>
    <x v="23"/>
    <n v="177"/>
    <n v="4.9000000000000004"/>
    <x v="0"/>
    <x v="2"/>
    <x v="4"/>
  </r>
  <r>
    <s v="Call_7341"/>
    <x v="15"/>
    <x v="42"/>
    <x v="0"/>
    <x v="24"/>
    <n v="115"/>
    <n v="1.1000000000000001"/>
    <x v="1"/>
    <x v="3"/>
    <x v="3"/>
  </r>
  <r>
    <s v="Call_7299"/>
    <x v="23"/>
    <x v="43"/>
    <x v="0"/>
    <x v="25"/>
    <n v="71"/>
    <n v="4.5"/>
    <x v="5"/>
    <x v="3"/>
    <x v="4"/>
  </r>
  <r>
    <s v="Call_7357"/>
    <x v="24"/>
    <x v="44"/>
    <x v="1"/>
    <x v="26"/>
    <n v="63"/>
    <n v="2.7"/>
    <x v="1"/>
    <x v="2"/>
    <x v="1"/>
  </r>
  <r>
    <s v="Call_7428"/>
    <x v="4"/>
    <x v="45"/>
    <x v="2"/>
    <x v="26"/>
    <n v="122"/>
    <n v="1.5"/>
    <x v="1"/>
    <x v="0"/>
    <x v="0"/>
  </r>
  <r>
    <s v="Call_7439"/>
    <x v="1"/>
    <x v="46"/>
    <x v="3"/>
    <x v="27"/>
    <n v="23"/>
    <n v="1.8"/>
    <x v="5"/>
    <x v="0"/>
    <x v="0"/>
  </r>
  <r>
    <s v="Call_7319"/>
    <x v="22"/>
    <x v="47"/>
    <x v="2"/>
    <x v="28"/>
    <n v="90"/>
    <n v="1.2"/>
    <x v="2"/>
    <x v="0"/>
    <x v="3"/>
  </r>
  <r>
    <s v="Call_7320"/>
    <x v="2"/>
    <x v="48"/>
    <x v="2"/>
    <x v="29"/>
    <n v="50"/>
    <n v="1.2"/>
    <x v="3"/>
    <x v="0"/>
    <x v="3"/>
  </r>
  <r>
    <s v="Call_7374"/>
    <x v="9"/>
    <x v="20"/>
    <x v="4"/>
    <x v="30"/>
    <n v="114"/>
    <n v="2.2999999999999998"/>
    <x v="2"/>
    <x v="3"/>
    <x v="0"/>
  </r>
  <r>
    <s v="Call_7283"/>
    <x v="10"/>
    <x v="10"/>
    <x v="0"/>
    <x v="31"/>
    <n v="196"/>
    <n v="2"/>
    <x v="1"/>
    <x v="0"/>
    <x v="0"/>
  </r>
  <r>
    <s v="Call_7274"/>
    <x v="21"/>
    <x v="49"/>
    <x v="2"/>
    <x v="32"/>
    <n v="66"/>
    <n v="2.8"/>
    <x v="3"/>
    <x v="3"/>
    <x v="1"/>
  </r>
  <r>
    <s v="Call_7377"/>
    <x v="7"/>
    <x v="50"/>
    <x v="3"/>
    <x v="32"/>
    <n v="147"/>
    <n v="4"/>
    <x v="3"/>
    <x v="3"/>
    <x v="2"/>
  </r>
  <r>
    <s v="Call_7384"/>
    <x v="23"/>
    <x v="32"/>
    <x v="1"/>
    <x v="32"/>
    <n v="74"/>
    <n v="4.3"/>
    <x v="3"/>
    <x v="3"/>
    <x v="2"/>
  </r>
  <r>
    <s v="Call_7350"/>
    <x v="20"/>
    <x v="51"/>
    <x v="2"/>
    <x v="33"/>
    <n v="75"/>
    <n v="1.2"/>
    <x v="0"/>
    <x v="3"/>
    <x v="3"/>
  </r>
  <r>
    <s v="Call_7300"/>
    <x v="3"/>
    <x v="40"/>
    <x v="3"/>
    <x v="34"/>
    <n v="146"/>
    <n v="4.0999999999999996"/>
    <x v="1"/>
    <x v="1"/>
    <x v="2"/>
  </r>
  <r>
    <s v="Call_7321"/>
    <x v="25"/>
    <x v="15"/>
    <x v="0"/>
    <x v="34"/>
    <n v="162"/>
    <n v="1.3"/>
    <x v="1"/>
    <x v="1"/>
    <x v="3"/>
  </r>
  <r>
    <s v="Call_7310"/>
    <x v="19"/>
    <x v="52"/>
    <x v="4"/>
    <x v="35"/>
    <n v="120"/>
    <n v="2.4"/>
    <x v="5"/>
    <x v="1"/>
    <x v="0"/>
  </r>
  <r>
    <s v="Call_7468"/>
    <x v="11"/>
    <x v="53"/>
    <x v="2"/>
    <x v="36"/>
    <n v="173"/>
    <n v="4.8"/>
    <x v="0"/>
    <x v="3"/>
    <x v="4"/>
  </r>
  <r>
    <s v="Call_7327"/>
    <x v="2"/>
    <x v="7"/>
    <x v="4"/>
    <x v="37"/>
    <n v="64"/>
    <n v="3"/>
    <x v="4"/>
    <x v="1"/>
    <x v="1"/>
  </r>
  <r>
    <s v="Call_7351"/>
    <x v="26"/>
    <x v="44"/>
    <x v="2"/>
    <x v="37"/>
    <n v="185"/>
    <n v="3.9"/>
    <x v="4"/>
    <x v="2"/>
    <x v="2"/>
  </r>
  <r>
    <s v="Call_7397"/>
    <x v="16"/>
    <x v="54"/>
    <x v="2"/>
    <x v="37"/>
    <n v="133"/>
    <n v="2.9"/>
    <x v="4"/>
    <x v="3"/>
    <x v="1"/>
  </r>
  <r>
    <s v="Call_7363"/>
    <x v="23"/>
    <x v="55"/>
    <x v="2"/>
    <x v="38"/>
    <n v="193"/>
    <n v="3.8"/>
    <x v="5"/>
    <x v="0"/>
    <x v="2"/>
  </r>
  <r>
    <s v="Call_7408"/>
    <x v="5"/>
    <x v="8"/>
    <x v="4"/>
    <x v="38"/>
    <n v="90"/>
    <n v="1.5"/>
    <x v="5"/>
    <x v="3"/>
    <x v="0"/>
  </r>
  <r>
    <s v="Call_7326"/>
    <x v="4"/>
    <x v="56"/>
    <x v="1"/>
    <x v="39"/>
    <n v="12"/>
    <n v="2.8"/>
    <x v="4"/>
    <x v="0"/>
    <x v="1"/>
  </r>
  <r>
    <s v="Call_7427"/>
    <x v="9"/>
    <x v="57"/>
    <x v="0"/>
    <x v="39"/>
    <n v="25"/>
    <n v="1.7"/>
    <x v="4"/>
    <x v="3"/>
    <x v="0"/>
  </r>
  <r>
    <s v="Call_7330"/>
    <x v="8"/>
    <x v="58"/>
    <x v="1"/>
    <x v="40"/>
    <n v="36"/>
    <n v="4.8"/>
    <x v="2"/>
    <x v="0"/>
    <x v="4"/>
  </r>
  <r>
    <s v="Call_7417"/>
    <x v="9"/>
    <x v="4"/>
    <x v="2"/>
    <x v="41"/>
    <n v="31"/>
    <n v="5"/>
    <x v="5"/>
    <x v="1"/>
    <x v="4"/>
  </r>
  <r>
    <s v="Call_7469"/>
    <x v="12"/>
    <x v="59"/>
    <x v="3"/>
    <x v="41"/>
    <n v="60"/>
    <n v="5"/>
    <x v="5"/>
    <x v="3"/>
    <x v="4"/>
  </r>
  <r>
    <s v="Call_7297"/>
    <x v="9"/>
    <x v="60"/>
    <x v="0"/>
    <x v="42"/>
    <n v="145"/>
    <n v="4.7"/>
    <x v="6"/>
    <x v="3"/>
    <x v="4"/>
  </r>
  <r>
    <s v="Call_7302"/>
    <x v="10"/>
    <x v="61"/>
    <x v="0"/>
    <x v="42"/>
    <n v="196"/>
    <n v="3.8"/>
    <x v="6"/>
    <x v="0"/>
    <x v="2"/>
  </r>
  <r>
    <s v="Call_7459"/>
    <x v="14"/>
    <x v="33"/>
    <x v="3"/>
    <x v="42"/>
    <n v="19"/>
    <n v="3.5"/>
    <x v="6"/>
    <x v="0"/>
    <x v="2"/>
  </r>
  <r>
    <s v="Call_7355"/>
    <x v="13"/>
    <x v="62"/>
    <x v="2"/>
    <x v="43"/>
    <n v="59"/>
    <n v="2.7"/>
    <x v="4"/>
    <x v="3"/>
    <x v="1"/>
  </r>
  <r>
    <s v="Call_7380"/>
    <x v="13"/>
    <x v="63"/>
    <x v="3"/>
    <x v="43"/>
    <n v="169"/>
    <n v="3.1"/>
    <x v="4"/>
    <x v="1"/>
    <x v="1"/>
  </r>
  <r>
    <s v="Call_7387"/>
    <x v="10"/>
    <x v="64"/>
    <x v="0"/>
    <x v="43"/>
    <n v="131"/>
    <n v="3.7"/>
    <x v="4"/>
    <x v="1"/>
    <x v="2"/>
  </r>
  <r>
    <s v="Call_7410"/>
    <x v="6"/>
    <x v="65"/>
    <x v="2"/>
    <x v="44"/>
    <n v="82"/>
    <n v="4.9000000000000004"/>
    <x v="6"/>
    <x v="0"/>
    <x v="4"/>
  </r>
  <r>
    <s v="Call_7470"/>
    <x v="17"/>
    <x v="29"/>
    <x v="4"/>
    <x v="45"/>
    <n v="107"/>
    <n v="3.3"/>
    <x v="4"/>
    <x v="0"/>
    <x v="1"/>
  </r>
  <r>
    <s v="Call_7453"/>
    <x v="26"/>
    <x v="66"/>
    <x v="1"/>
    <x v="46"/>
    <n v="190"/>
    <n v="4.7"/>
    <x v="3"/>
    <x v="2"/>
    <x v="4"/>
  </r>
  <r>
    <s v="Call_7336"/>
    <x v="0"/>
    <x v="67"/>
    <x v="2"/>
    <x v="47"/>
    <n v="153"/>
    <n v="1"/>
    <x v="4"/>
    <x v="0"/>
    <x v="3"/>
  </r>
  <r>
    <s v="Call_7391"/>
    <x v="13"/>
    <x v="68"/>
    <x v="0"/>
    <x v="48"/>
    <n v="161"/>
    <n v="3.8"/>
    <x v="6"/>
    <x v="3"/>
    <x v="2"/>
  </r>
  <r>
    <s v="Call_7405"/>
    <x v="27"/>
    <x v="69"/>
    <x v="0"/>
    <x v="49"/>
    <n v="179"/>
    <n v="3.3"/>
    <x v="2"/>
    <x v="3"/>
    <x v="1"/>
  </r>
  <r>
    <s v="Call_7352"/>
    <x v="6"/>
    <x v="49"/>
    <x v="1"/>
    <x v="50"/>
    <n v="27"/>
    <n v="4.8"/>
    <x v="6"/>
    <x v="3"/>
    <x v="4"/>
  </r>
  <r>
    <s v="Call_7278"/>
    <x v="21"/>
    <x v="70"/>
    <x v="3"/>
    <x v="51"/>
    <n v="151"/>
    <n v="2.2000000000000002"/>
    <x v="0"/>
    <x v="1"/>
    <x v="0"/>
  </r>
  <r>
    <s v="Call_7280"/>
    <x v="22"/>
    <x v="71"/>
    <x v="1"/>
    <x v="51"/>
    <n v="69"/>
    <n v="4.5"/>
    <x v="0"/>
    <x v="3"/>
    <x v="4"/>
  </r>
  <r>
    <s v="Call_7323"/>
    <x v="10"/>
    <x v="3"/>
    <x v="2"/>
    <x v="51"/>
    <n v="117"/>
    <n v="3.6"/>
    <x v="0"/>
    <x v="2"/>
    <x v="2"/>
  </r>
  <r>
    <s v="Call_7303"/>
    <x v="12"/>
    <x v="72"/>
    <x v="3"/>
    <x v="52"/>
    <n v="176"/>
    <n v="2.5"/>
    <x v="1"/>
    <x v="3"/>
    <x v="1"/>
  </r>
  <r>
    <s v="Call_7342"/>
    <x v="6"/>
    <x v="73"/>
    <x v="3"/>
    <x v="52"/>
    <n v="198"/>
    <n v="4.2"/>
    <x v="1"/>
    <x v="3"/>
    <x v="2"/>
  </r>
  <r>
    <s v="Call_7354"/>
    <x v="6"/>
    <x v="50"/>
    <x v="2"/>
    <x v="53"/>
    <n v="180"/>
    <n v="2.6"/>
    <x v="3"/>
    <x v="3"/>
    <x v="1"/>
  </r>
  <r>
    <s v="Call_7390"/>
    <x v="20"/>
    <x v="47"/>
    <x v="4"/>
    <x v="53"/>
    <n v="157"/>
    <n v="3.7"/>
    <x v="3"/>
    <x v="0"/>
    <x v="2"/>
  </r>
  <r>
    <s v="Call_7369"/>
    <x v="23"/>
    <x v="74"/>
    <x v="3"/>
    <x v="54"/>
    <n v="124"/>
    <n v="4.5999999999999996"/>
    <x v="5"/>
    <x v="0"/>
    <x v="4"/>
  </r>
  <r>
    <s v="Call_7349"/>
    <x v="26"/>
    <x v="53"/>
    <x v="1"/>
    <x v="55"/>
    <n v="165"/>
    <n v="4.9000000000000004"/>
    <x v="0"/>
    <x v="3"/>
    <x v="4"/>
  </r>
  <r>
    <s v="Call_7396"/>
    <x v="16"/>
    <x v="56"/>
    <x v="0"/>
    <x v="55"/>
    <n v="55"/>
    <n v="3.9"/>
    <x v="0"/>
    <x v="0"/>
    <x v="2"/>
  </r>
  <r>
    <s v="Call_7375"/>
    <x v="11"/>
    <x v="12"/>
    <x v="4"/>
    <x v="56"/>
    <n v="117"/>
    <n v="2.6"/>
    <x v="1"/>
    <x v="0"/>
    <x v="1"/>
  </r>
  <r>
    <s v="Call_7311"/>
    <x v="26"/>
    <x v="75"/>
    <x v="4"/>
    <x v="57"/>
    <n v="177"/>
    <n v="4.9000000000000004"/>
    <x v="4"/>
    <x v="0"/>
    <x v="4"/>
  </r>
  <r>
    <s v="Call_7458"/>
    <x v="16"/>
    <x v="15"/>
    <x v="1"/>
    <x v="57"/>
    <n v="146"/>
    <n v="2.5"/>
    <x v="4"/>
    <x v="1"/>
    <x v="1"/>
  </r>
  <r>
    <s v="Call_7353"/>
    <x v="15"/>
    <x v="27"/>
    <x v="2"/>
    <x v="58"/>
    <n v="179"/>
    <n v="4.4000000000000004"/>
    <x v="1"/>
    <x v="3"/>
    <x v="2"/>
  </r>
  <r>
    <s v="Call_7305"/>
    <x v="14"/>
    <x v="76"/>
    <x v="2"/>
    <x v="59"/>
    <n v="68"/>
    <n v="3.4"/>
    <x v="2"/>
    <x v="2"/>
    <x v="1"/>
  </r>
  <r>
    <s v="Call_7443"/>
    <x v="27"/>
    <x v="36"/>
    <x v="1"/>
    <x v="59"/>
    <n v="13"/>
    <n v="3.2"/>
    <x v="2"/>
    <x v="1"/>
    <x v="1"/>
  </r>
  <r>
    <s v="Call_7455"/>
    <x v="2"/>
    <x v="27"/>
    <x v="4"/>
    <x v="60"/>
    <n v="35"/>
    <n v="3.1"/>
    <x v="5"/>
    <x v="3"/>
    <x v="1"/>
  </r>
  <r>
    <s v="Call_7332"/>
    <x v="5"/>
    <x v="77"/>
    <x v="2"/>
    <x v="61"/>
    <n v="193"/>
    <n v="2.4"/>
    <x v="4"/>
    <x v="3"/>
    <x v="0"/>
  </r>
  <r>
    <s v="Call_7339"/>
    <x v="15"/>
    <x v="3"/>
    <x v="1"/>
    <x v="61"/>
    <n v="184"/>
    <n v="2"/>
    <x v="4"/>
    <x v="2"/>
    <x v="0"/>
  </r>
  <r>
    <s v="Call_7272"/>
    <x v="6"/>
    <x v="78"/>
    <x v="2"/>
    <x v="62"/>
    <n v="161"/>
    <n v="2.7"/>
    <x v="2"/>
    <x v="1"/>
    <x v="1"/>
  </r>
  <r>
    <s v="Call_7467"/>
    <x v="23"/>
    <x v="75"/>
    <x v="1"/>
    <x v="63"/>
    <n v="149"/>
    <n v="1.6"/>
    <x v="6"/>
    <x v="0"/>
    <x v="0"/>
  </r>
  <r>
    <s v="Call_7402"/>
    <x v="23"/>
    <x v="45"/>
    <x v="1"/>
    <x v="64"/>
    <n v="12"/>
    <n v="3.1"/>
    <x v="3"/>
    <x v="0"/>
    <x v="1"/>
  </r>
  <r>
    <s v="Call_7314"/>
    <x v="11"/>
    <x v="79"/>
    <x v="4"/>
    <x v="65"/>
    <n v="150"/>
    <n v="1.4"/>
    <x v="2"/>
    <x v="3"/>
    <x v="3"/>
  </r>
  <r>
    <s v="Call_7368"/>
    <x v="21"/>
    <x v="45"/>
    <x v="1"/>
    <x v="65"/>
    <n v="166"/>
    <n v="4.3"/>
    <x v="2"/>
    <x v="0"/>
    <x v="2"/>
  </r>
  <r>
    <s v="Call_7461"/>
    <x v="20"/>
    <x v="10"/>
    <x v="4"/>
    <x v="65"/>
    <n v="52"/>
    <n v="3.8"/>
    <x v="2"/>
    <x v="0"/>
    <x v="2"/>
  </r>
  <r>
    <s v="Call_7286"/>
    <x v="13"/>
    <x v="57"/>
    <x v="4"/>
    <x v="66"/>
    <n v="155"/>
    <n v="4.5"/>
    <x v="6"/>
    <x v="3"/>
    <x v="4"/>
  </r>
  <r>
    <s v="Call_7290"/>
    <x v="9"/>
    <x v="30"/>
    <x v="3"/>
    <x v="67"/>
    <n v="22"/>
    <n v="4.4000000000000004"/>
    <x v="3"/>
    <x v="0"/>
    <x v="2"/>
  </r>
  <r>
    <s v="Call_7315"/>
    <x v="16"/>
    <x v="46"/>
    <x v="4"/>
    <x v="67"/>
    <n v="70"/>
    <n v="1.7"/>
    <x v="3"/>
    <x v="0"/>
    <x v="0"/>
  </r>
  <r>
    <s v="Call_7431"/>
    <x v="10"/>
    <x v="59"/>
    <x v="4"/>
    <x v="67"/>
    <n v="68"/>
    <n v="4.8"/>
    <x v="3"/>
    <x v="3"/>
    <x v="4"/>
  </r>
  <r>
    <s v="Call_7291"/>
    <x v="9"/>
    <x v="33"/>
    <x v="0"/>
    <x v="68"/>
    <n v="118"/>
    <n v="3.4"/>
    <x v="0"/>
    <x v="0"/>
    <x v="1"/>
  </r>
  <r>
    <s v="Call_7293"/>
    <x v="21"/>
    <x v="80"/>
    <x v="4"/>
    <x v="68"/>
    <n v="147"/>
    <n v="4"/>
    <x v="0"/>
    <x v="2"/>
    <x v="2"/>
  </r>
  <r>
    <s v="Call_7398"/>
    <x v="24"/>
    <x v="81"/>
    <x v="1"/>
    <x v="69"/>
    <n v="72"/>
    <n v="4.3"/>
    <x v="6"/>
    <x v="0"/>
    <x v="2"/>
  </r>
  <r>
    <s v="Call_7288"/>
    <x v="5"/>
    <x v="82"/>
    <x v="0"/>
    <x v="70"/>
    <n v="147"/>
    <n v="2.1"/>
    <x v="1"/>
    <x v="1"/>
    <x v="0"/>
  </r>
  <r>
    <s v="Call_7404"/>
    <x v="27"/>
    <x v="22"/>
    <x v="3"/>
    <x v="71"/>
    <n v="14"/>
    <n v="1.4"/>
    <x v="3"/>
    <x v="0"/>
    <x v="3"/>
  </r>
  <r>
    <s v="Call_7409"/>
    <x v="21"/>
    <x v="83"/>
    <x v="0"/>
    <x v="72"/>
    <n v="199"/>
    <n v="2.9"/>
    <x v="0"/>
    <x v="3"/>
    <x v="1"/>
  </r>
  <r>
    <s v="Call_7462"/>
    <x v="23"/>
    <x v="84"/>
    <x v="4"/>
    <x v="73"/>
    <n v="24"/>
    <n v="2.2000000000000002"/>
    <x v="0"/>
    <x v="2"/>
    <x v="0"/>
  </r>
  <r>
    <s v="Call_7381"/>
    <x v="15"/>
    <x v="85"/>
    <x v="2"/>
    <x v="74"/>
    <n v="179"/>
    <n v="1.1000000000000001"/>
    <x v="4"/>
    <x v="3"/>
    <x v="3"/>
  </r>
  <r>
    <s v="Call_7419"/>
    <x v="27"/>
    <x v="6"/>
    <x v="3"/>
    <x v="75"/>
    <n v="123"/>
    <n v="2.2000000000000002"/>
    <x v="1"/>
    <x v="0"/>
    <x v="0"/>
  </r>
  <r>
    <s v="Call_7365"/>
    <x v="23"/>
    <x v="86"/>
    <x v="3"/>
    <x v="76"/>
    <n v="55"/>
    <n v="4.2"/>
    <x v="5"/>
    <x v="1"/>
    <x v="2"/>
  </r>
  <r>
    <s v="Call_7423"/>
    <x v="1"/>
    <x v="87"/>
    <x v="3"/>
    <x v="77"/>
    <n v="162"/>
    <n v="2.9"/>
    <x v="2"/>
    <x v="3"/>
    <x v="1"/>
  </r>
  <r>
    <s v="Call_7436"/>
    <x v="8"/>
    <x v="78"/>
    <x v="0"/>
    <x v="78"/>
    <n v="115"/>
    <n v="3.8"/>
    <x v="5"/>
    <x v="1"/>
    <x v="2"/>
  </r>
  <r>
    <s v="Call_7356"/>
    <x v="13"/>
    <x v="88"/>
    <x v="2"/>
    <x v="79"/>
    <n v="87"/>
    <n v="2.6"/>
    <x v="6"/>
    <x v="1"/>
    <x v="1"/>
  </r>
  <r>
    <s v="Call_7420"/>
    <x v="2"/>
    <x v="28"/>
    <x v="1"/>
    <x v="79"/>
    <n v="168"/>
    <n v="1.2"/>
    <x v="6"/>
    <x v="0"/>
    <x v="3"/>
  </r>
  <r>
    <s v="Call_7317"/>
    <x v="1"/>
    <x v="89"/>
    <x v="1"/>
    <x v="80"/>
    <n v="83"/>
    <n v="2.7"/>
    <x v="4"/>
    <x v="3"/>
    <x v="1"/>
  </r>
  <r>
    <s v="Call_7383"/>
    <x v="13"/>
    <x v="90"/>
    <x v="0"/>
    <x v="80"/>
    <n v="93"/>
    <n v="2.4"/>
    <x v="4"/>
    <x v="3"/>
    <x v="0"/>
  </r>
  <r>
    <s v="Call_7451"/>
    <x v="28"/>
    <x v="91"/>
    <x v="3"/>
    <x v="80"/>
    <n v="92"/>
    <n v="4.5"/>
    <x v="4"/>
    <x v="0"/>
    <x v="4"/>
  </r>
  <r>
    <s v="Call_7361"/>
    <x v="28"/>
    <x v="42"/>
    <x v="1"/>
    <x v="81"/>
    <n v="60"/>
    <n v="1.6"/>
    <x v="2"/>
    <x v="3"/>
    <x v="0"/>
  </r>
  <r>
    <s v="Call_7276"/>
    <x v="9"/>
    <x v="92"/>
    <x v="1"/>
    <x v="82"/>
    <n v="33"/>
    <n v="2.5"/>
    <x v="6"/>
    <x v="3"/>
    <x v="1"/>
  </r>
  <r>
    <s v="Call_7360"/>
    <x v="25"/>
    <x v="10"/>
    <x v="2"/>
    <x v="83"/>
    <n v="33"/>
    <n v="4.3"/>
    <x v="2"/>
    <x v="0"/>
    <x v="2"/>
  </r>
  <r>
    <s v="Call_7466"/>
    <x v="11"/>
    <x v="93"/>
    <x v="1"/>
    <x v="84"/>
    <n v="75"/>
    <n v="3.7"/>
    <x v="6"/>
    <x v="0"/>
    <x v="2"/>
  </r>
  <r>
    <s v="Call_7285"/>
    <x v="8"/>
    <x v="90"/>
    <x v="4"/>
    <x v="85"/>
    <n v="18"/>
    <n v="4.2"/>
    <x v="3"/>
    <x v="3"/>
    <x v="2"/>
  </r>
  <r>
    <s v="Call_7306"/>
    <x v="1"/>
    <x v="94"/>
    <x v="4"/>
    <x v="85"/>
    <n v="27"/>
    <n v="4.5999999999999996"/>
    <x v="3"/>
    <x v="1"/>
    <x v="4"/>
  </r>
  <r>
    <s v="Call_7411"/>
    <x v="24"/>
    <x v="95"/>
    <x v="1"/>
    <x v="85"/>
    <n v="102"/>
    <n v="1.7"/>
    <x v="3"/>
    <x v="3"/>
    <x v="0"/>
  </r>
  <r>
    <s v="Call_7460"/>
    <x v="27"/>
    <x v="55"/>
    <x v="1"/>
    <x v="85"/>
    <n v="33"/>
    <n v="2.7"/>
    <x v="3"/>
    <x v="0"/>
    <x v="1"/>
  </r>
  <r>
    <s v="Call_7331"/>
    <x v="9"/>
    <x v="96"/>
    <x v="4"/>
    <x v="86"/>
    <n v="200"/>
    <n v="3.2"/>
    <x v="0"/>
    <x v="3"/>
    <x v="1"/>
  </r>
  <r>
    <s v="Call_7395"/>
    <x v="17"/>
    <x v="97"/>
    <x v="3"/>
    <x v="86"/>
    <n v="120"/>
    <n v="4.8"/>
    <x v="0"/>
    <x v="0"/>
    <x v="4"/>
  </r>
  <r>
    <s v="Call_7275"/>
    <x v="5"/>
    <x v="98"/>
    <x v="0"/>
    <x v="87"/>
    <n v="118"/>
    <n v="2.4"/>
    <x v="1"/>
    <x v="2"/>
    <x v="0"/>
  </r>
  <r>
    <s v="Call_7392"/>
    <x v="16"/>
    <x v="99"/>
    <x v="4"/>
    <x v="87"/>
    <n v="87"/>
    <n v="4.4000000000000004"/>
    <x v="1"/>
    <x v="3"/>
    <x v="2"/>
  </r>
  <r>
    <s v="Call_7312"/>
    <x v="20"/>
    <x v="100"/>
    <x v="3"/>
    <x v="88"/>
    <n v="37"/>
    <n v="2"/>
    <x v="3"/>
    <x v="2"/>
    <x v="0"/>
  </r>
  <r>
    <s v="Call_7379"/>
    <x v="18"/>
    <x v="84"/>
    <x v="3"/>
    <x v="88"/>
    <n v="181"/>
    <n v="3.7"/>
    <x v="3"/>
    <x v="2"/>
    <x v="2"/>
  </r>
  <r>
    <s v="Call_7457"/>
    <x v="3"/>
    <x v="101"/>
    <x v="1"/>
    <x v="88"/>
    <n v="169"/>
    <n v="3.8"/>
    <x v="3"/>
    <x v="0"/>
    <x v="2"/>
  </r>
  <r>
    <s v="Call_7279"/>
    <x v="16"/>
    <x v="102"/>
    <x v="1"/>
    <x v="89"/>
    <n v="59"/>
    <n v="3.8"/>
    <x v="5"/>
    <x v="0"/>
    <x v="2"/>
  </r>
  <r>
    <s v="Call_7376"/>
    <x v="28"/>
    <x v="103"/>
    <x v="4"/>
    <x v="89"/>
    <n v="107"/>
    <n v="2.9"/>
    <x v="5"/>
    <x v="0"/>
    <x v="1"/>
  </r>
  <r>
    <s v="Call_7416"/>
    <x v="13"/>
    <x v="104"/>
    <x v="4"/>
    <x v="89"/>
    <n v="171"/>
    <n v="3.7"/>
    <x v="5"/>
    <x v="0"/>
    <x v="2"/>
  </r>
  <r>
    <s v="Call_7382"/>
    <x v="16"/>
    <x v="28"/>
    <x v="0"/>
    <x v="90"/>
    <n v="56"/>
    <n v="1.2"/>
    <x v="0"/>
    <x v="0"/>
    <x v="3"/>
  </r>
  <r>
    <s v="Call_7444"/>
    <x v="3"/>
    <x v="105"/>
    <x v="4"/>
    <x v="90"/>
    <n v="40"/>
    <n v="3.6"/>
    <x v="0"/>
    <x v="3"/>
    <x v="2"/>
  </r>
  <r>
    <s v="Call_7294"/>
    <x v="28"/>
    <x v="106"/>
    <x v="1"/>
    <x v="91"/>
    <n v="85"/>
    <n v="2.7"/>
    <x v="5"/>
    <x v="0"/>
    <x v="1"/>
  </r>
  <r>
    <s v="Call_7282"/>
    <x v="7"/>
    <x v="107"/>
    <x v="1"/>
    <x v="92"/>
    <n v="184"/>
    <n v="3.6"/>
    <x v="4"/>
    <x v="3"/>
    <x v="2"/>
  </r>
  <r>
    <s v="Call_7388"/>
    <x v="2"/>
    <x v="92"/>
    <x v="3"/>
    <x v="92"/>
    <n v="75"/>
    <n v="4.0999999999999996"/>
    <x v="4"/>
    <x v="3"/>
    <x v="2"/>
  </r>
  <r>
    <s v="Call_7407"/>
    <x v="21"/>
    <x v="27"/>
    <x v="1"/>
    <x v="92"/>
    <n v="126"/>
    <n v="2.1"/>
    <x v="4"/>
    <x v="3"/>
    <x v="0"/>
  </r>
  <r>
    <s v="Call_7449"/>
    <x v="4"/>
    <x v="50"/>
    <x v="2"/>
    <x v="93"/>
    <n v="178"/>
    <n v="3"/>
    <x v="2"/>
    <x v="3"/>
    <x v="1"/>
  </r>
  <r>
    <s v="Call_7308"/>
    <x v="18"/>
    <x v="20"/>
    <x v="2"/>
    <x v="94"/>
    <n v="195"/>
    <n v="4.7"/>
    <x v="6"/>
    <x v="3"/>
    <x v="4"/>
  </r>
  <r>
    <s v="Call_7335"/>
    <x v="22"/>
    <x v="44"/>
    <x v="1"/>
    <x v="94"/>
    <n v="173"/>
    <n v="4.9000000000000004"/>
    <x v="6"/>
    <x v="2"/>
    <x v="4"/>
  </r>
  <r>
    <s v="Call_7441"/>
    <x v="19"/>
    <x v="57"/>
    <x v="2"/>
    <x v="94"/>
    <n v="83"/>
    <n v="2.8"/>
    <x v="6"/>
    <x v="3"/>
    <x v="1"/>
  </r>
  <r>
    <s v="Call_7415"/>
    <x v="0"/>
    <x v="24"/>
    <x v="1"/>
    <x v="95"/>
    <n v="39"/>
    <n v="4.3"/>
    <x v="1"/>
    <x v="2"/>
    <x v="2"/>
  </r>
  <r>
    <s v="Call_7292"/>
    <x v="13"/>
    <x v="32"/>
    <x v="2"/>
    <x v="96"/>
    <n v="145"/>
    <n v="2"/>
    <x v="5"/>
    <x v="3"/>
    <x v="0"/>
  </r>
  <r>
    <s v="Call_7358"/>
    <x v="2"/>
    <x v="108"/>
    <x v="1"/>
    <x v="96"/>
    <n v="123"/>
    <n v="2.8"/>
    <x v="5"/>
    <x v="0"/>
    <x v="1"/>
  </r>
  <r>
    <s v="Call_7389"/>
    <x v="0"/>
    <x v="108"/>
    <x v="2"/>
    <x v="97"/>
    <n v="51"/>
    <n v="4.9000000000000004"/>
    <x v="2"/>
    <x v="0"/>
    <x v="4"/>
  </r>
  <r>
    <s v="Call_7426"/>
    <x v="15"/>
    <x v="49"/>
    <x v="3"/>
    <x v="97"/>
    <n v="149"/>
    <n v="1.9"/>
    <x v="2"/>
    <x v="3"/>
    <x v="0"/>
  </r>
  <r>
    <s v="Call_7406"/>
    <x v="18"/>
    <x v="58"/>
    <x v="2"/>
    <x v="98"/>
    <n v="118"/>
    <n v="5"/>
    <x v="4"/>
    <x v="0"/>
    <x v="4"/>
  </r>
  <r>
    <s v="Call_7434"/>
    <x v="15"/>
    <x v="23"/>
    <x v="0"/>
    <x v="99"/>
    <n v="121"/>
    <n v="3.5"/>
    <x v="3"/>
    <x v="3"/>
    <x v="2"/>
  </r>
  <r>
    <s v="Call_7304"/>
    <x v="23"/>
    <x v="31"/>
    <x v="3"/>
    <x v="100"/>
    <n v="73"/>
    <n v="1.9"/>
    <x v="3"/>
    <x v="0"/>
    <x v="0"/>
  </r>
  <r>
    <s v="Call_7322"/>
    <x v="17"/>
    <x v="42"/>
    <x v="3"/>
    <x v="100"/>
    <n v="155"/>
    <n v="2"/>
    <x v="3"/>
    <x v="3"/>
    <x v="0"/>
  </r>
  <r>
    <s v="Call_7344"/>
    <x v="27"/>
    <x v="109"/>
    <x v="3"/>
    <x v="101"/>
    <n v="88"/>
    <n v="4.3"/>
    <x v="6"/>
    <x v="3"/>
    <x v="2"/>
  </r>
  <r>
    <s v="Call_7435"/>
    <x v="18"/>
    <x v="1"/>
    <x v="3"/>
    <x v="101"/>
    <n v="114"/>
    <n v="2.2999999999999998"/>
    <x v="6"/>
    <x v="1"/>
    <x v="0"/>
  </r>
  <r>
    <s v="Call_7367"/>
    <x v="17"/>
    <x v="70"/>
    <x v="3"/>
    <x v="102"/>
    <n v="128"/>
    <n v="3.7"/>
    <x v="0"/>
    <x v="1"/>
    <x v="2"/>
  </r>
  <r>
    <s v="Call_7309"/>
    <x v="2"/>
    <x v="110"/>
    <x v="3"/>
    <x v="103"/>
    <n v="131"/>
    <n v="4.2"/>
    <x v="0"/>
    <x v="0"/>
    <x v="2"/>
  </r>
  <r>
    <s v="Call_7328"/>
    <x v="9"/>
    <x v="111"/>
    <x v="4"/>
    <x v="103"/>
    <n v="104"/>
    <n v="2.1"/>
    <x v="0"/>
    <x v="3"/>
    <x v="0"/>
  </r>
  <r>
    <s v="Call_7399"/>
    <x v="3"/>
    <x v="23"/>
    <x v="3"/>
    <x v="103"/>
    <n v="128"/>
    <n v="3.3"/>
    <x v="0"/>
    <x v="3"/>
    <x v="1"/>
  </r>
  <r>
    <s v="Call_7446"/>
    <x v="24"/>
    <x v="29"/>
    <x v="3"/>
    <x v="103"/>
    <n v="126"/>
    <n v="3.2"/>
    <x v="0"/>
    <x v="0"/>
    <x v="1"/>
  </r>
  <r>
    <s v="Call_7463"/>
    <x v="7"/>
    <x v="13"/>
    <x v="0"/>
    <x v="103"/>
    <n v="145"/>
    <n v="2.6"/>
    <x v="0"/>
    <x v="0"/>
    <x v="1"/>
  </r>
  <r>
    <s v="Call_7450"/>
    <x v="9"/>
    <x v="112"/>
    <x v="2"/>
    <x v="104"/>
    <n v="98"/>
    <n v="2.2999999999999998"/>
    <x v="4"/>
    <x v="0"/>
    <x v="0"/>
  </r>
  <r>
    <s v="Call_7313"/>
    <x v="19"/>
    <x v="113"/>
    <x v="3"/>
    <x v="105"/>
    <n v="118"/>
    <n v="1.7"/>
    <x v="5"/>
    <x v="0"/>
    <x v="0"/>
  </r>
  <r>
    <s v="Call_7298"/>
    <x v="10"/>
    <x v="35"/>
    <x v="3"/>
    <x v="106"/>
    <n v="38"/>
    <n v="4.7"/>
    <x v="4"/>
    <x v="3"/>
    <x v="4"/>
  </r>
  <r>
    <s v="Call_7418"/>
    <x v="20"/>
    <x v="114"/>
    <x v="3"/>
    <x v="107"/>
    <n v="162"/>
    <n v="4.2"/>
    <x v="2"/>
    <x v="0"/>
    <x v="2"/>
  </r>
  <r>
    <s v="Call_7386"/>
    <x v="3"/>
    <x v="3"/>
    <x v="4"/>
    <x v="108"/>
    <n v="61"/>
    <n v="4.4000000000000004"/>
    <x v="5"/>
    <x v="2"/>
    <x v="2"/>
  </r>
  <r>
    <s v="Call_7378"/>
    <x v="21"/>
    <x v="115"/>
    <x v="0"/>
    <x v="109"/>
    <n v="66"/>
    <n v="2.1"/>
    <x v="6"/>
    <x v="0"/>
    <x v="0"/>
  </r>
  <r>
    <s v="Call_7432"/>
    <x v="24"/>
    <x v="110"/>
    <x v="2"/>
    <x v="110"/>
    <n v="182"/>
    <n v="4.3"/>
    <x v="6"/>
    <x v="0"/>
    <x v="2"/>
  </r>
  <r>
    <s v="Call_7329"/>
    <x v="11"/>
    <x v="91"/>
    <x v="1"/>
    <x v="111"/>
    <n v="177"/>
    <n v="3.1"/>
    <x v="3"/>
    <x v="0"/>
    <x v="1"/>
  </r>
  <r>
    <s v="Call_7362"/>
    <x v="22"/>
    <x v="99"/>
    <x v="3"/>
    <x v="111"/>
    <n v="28"/>
    <n v="2.8"/>
    <x v="3"/>
    <x v="3"/>
    <x v="1"/>
  </r>
  <r>
    <s v="Call_7364"/>
    <x v="18"/>
    <x v="5"/>
    <x v="0"/>
    <x v="112"/>
    <n v="177"/>
    <n v="3.8"/>
    <x v="3"/>
    <x v="3"/>
    <x v="2"/>
  </r>
  <r>
    <s v="Call_7345"/>
    <x v="17"/>
    <x v="71"/>
    <x v="0"/>
    <x v="113"/>
    <n v="178"/>
    <n v="1.8"/>
    <x v="0"/>
    <x v="3"/>
    <x v="0"/>
  </r>
  <r>
    <s v="Call_7454"/>
    <x v="13"/>
    <x v="51"/>
    <x v="0"/>
    <x v="114"/>
    <n v="19"/>
    <n v="1.5"/>
    <x v="5"/>
    <x v="3"/>
    <x v="0"/>
  </r>
  <r>
    <s v="Call_7343"/>
    <x v="5"/>
    <x v="36"/>
    <x v="4"/>
    <x v="115"/>
    <n v="19"/>
    <n v="4.4000000000000004"/>
    <x v="0"/>
    <x v="1"/>
    <x v="2"/>
  </r>
  <r>
    <s v="Call_7373"/>
    <x v="21"/>
    <x v="15"/>
    <x v="0"/>
    <x v="116"/>
    <n v="69"/>
    <n v="2.5"/>
    <x v="1"/>
    <x v="1"/>
    <x v="1"/>
  </r>
  <r>
    <s v="Call_7347"/>
    <x v="13"/>
    <x v="113"/>
    <x v="1"/>
    <x v="117"/>
    <n v="39"/>
    <n v="4.5"/>
    <x v="5"/>
    <x v="0"/>
    <x v="4"/>
  </r>
  <r>
    <s v="Call_7400"/>
    <x v="8"/>
    <x v="32"/>
    <x v="1"/>
    <x v="117"/>
    <n v="136"/>
    <n v="4.4000000000000004"/>
    <x v="5"/>
    <x v="3"/>
    <x v="2"/>
  </r>
  <r>
    <s v="Call_7442"/>
    <x v="12"/>
    <x v="0"/>
    <x v="4"/>
    <x v="117"/>
    <n v="171"/>
    <n v="3.4"/>
    <x v="5"/>
    <x v="0"/>
    <x v="1"/>
  </r>
  <r>
    <s v="Call_7324"/>
    <x v="2"/>
    <x v="6"/>
    <x v="1"/>
    <x v="118"/>
    <n v="62"/>
    <n v="3.7"/>
    <x v="1"/>
    <x v="0"/>
    <x v="2"/>
  </r>
  <r>
    <s v="Call_7370"/>
    <x v="6"/>
    <x v="22"/>
    <x v="3"/>
    <x v="118"/>
    <n v="73"/>
    <n v="4.4000000000000004"/>
    <x v="1"/>
    <x v="0"/>
    <x v="2"/>
  </r>
  <r>
    <s v="Call_7465"/>
    <x v="13"/>
    <x v="102"/>
    <x v="0"/>
    <x v="119"/>
    <n v="159"/>
    <n v="1.6"/>
    <x v="2"/>
    <x v="0"/>
    <x v="0"/>
  </r>
  <r>
    <s v="Call_7452"/>
    <x v="12"/>
    <x v="21"/>
    <x v="2"/>
    <x v="120"/>
    <n v="69"/>
    <n v="4.4000000000000004"/>
    <x v="5"/>
    <x v="3"/>
    <x v="2"/>
  </r>
  <r>
    <s v="Call_7318"/>
    <x v="6"/>
    <x v="114"/>
    <x v="3"/>
    <x v="121"/>
    <n v="58"/>
    <n v="2.2000000000000002"/>
    <x v="4"/>
    <x v="0"/>
    <x v="0"/>
  </r>
  <r>
    <s v="Call_7277"/>
    <x v="7"/>
    <x v="53"/>
    <x v="2"/>
    <x v="122"/>
    <n v="21"/>
    <n v="3.9"/>
    <x v="4"/>
    <x v="3"/>
    <x v="2"/>
  </r>
  <r>
    <s v="Call_7348"/>
    <x v="5"/>
    <x v="116"/>
    <x v="2"/>
    <x v="122"/>
    <n v="19"/>
    <n v="1.4"/>
    <x v="4"/>
    <x v="1"/>
    <x v="3"/>
  </r>
  <r>
    <s v="Call_7295"/>
    <x v="11"/>
    <x v="44"/>
    <x v="1"/>
    <x v="123"/>
    <n v="55"/>
    <n v="3"/>
    <x v="3"/>
    <x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763B8E-95BF-4DBD-971D-7F2760FB26DA}" name="PivotTable2" cacheId="4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4" firstHeaderRow="1" firstDataRow="1" firstDataCol="1"/>
  <pivotFields count="10">
    <pivotField compact="0" outline="0" showAll="0"/>
    <pivotField axis="axisRow" compact="0" outline="0" showAll="0" measureFilter="1" sortType="descending">
      <items count="30">
        <item x="1"/>
        <item x="22"/>
        <item x="3"/>
        <item x="20"/>
        <item x="9"/>
        <item x="0"/>
        <item x="19"/>
        <item x="27"/>
        <item x="5"/>
        <item x="4"/>
        <item x="14"/>
        <item x="7"/>
        <item x="13"/>
        <item x="26"/>
        <item x="11"/>
        <item x="18"/>
        <item x="25"/>
        <item x="21"/>
        <item x="2"/>
        <item x="10"/>
        <item x="16"/>
        <item x="8"/>
        <item x="12"/>
        <item x="6"/>
        <item x="28"/>
        <item x="24"/>
        <item x="17"/>
        <item x="23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>
      <items count="6">
        <item h="1" x="4"/>
        <item h="1" x="0"/>
        <item x="1"/>
        <item h="1" x="3"/>
        <item h="1" x="2"/>
        <item t="default"/>
      </items>
    </pivotField>
    <pivotField compact="0" numFmtId="16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11">
    <i>
      <x v="14"/>
    </i>
    <i>
      <x v="1"/>
    </i>
    <i>
      <x v="13"/>
    </i>
    <i>
      <x v="18"/>
    </i>
    <i>
      <x v="2"/>
    </i>
    <i>
      <x v="21"/>
    </i>
    <i>
      <x v="17"/>
    </i>
    <i>
      <x v="25"/>
    </i>
    <i>
      <x v="27"/>
    </i>
    <i>
      <x v="4"/>
    </i>
    <i t="grand">
      <x/>
    </i>
  </rowItems>
  <colItems count="1">
    <i/>
  </colItems>
  <dataFields count="1">
    <dataField name="Sum of Purchase Amount" fld="5" baseField="0" baseItem="0" numFmtId="165"/>
  </dataFields>
  <formats count="2">
    <format dxfId="14">
      <pivotArea outline="0" fieldPosition="0">
        <references count="1">
          <reference field="1" count="1" selected="0">
            <x v="0"/>
          </reference>
        </references>
      </pivotArea>
    </format>
    <format dxfId="15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31D577-D1FE-4D87-A63D-A4CEDAB2BEB1}" name="PivotTable1" cacheId="4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C146" firstHeaderRow="1" firstDataRow="1" firstDataCol="2"/>
  <pivotFields count="10">
    <pivotField dataField="1" compact="0" outline="0" showAll="0"/>
    <pivotField compact="0" outline="0" showAll="0"/>
    <pivotField compact="0" outline="0" showAll="0"/>
    <pivotField axis="axisRow" compact="0" outline="0" showAll="0">
      <items count="6">
        <item h="1" x="4"/>
        <item x="0"/>
        <item h="1" x="1"/>
        <item h="1" x="3"/>
        <item x="2"/>
        <item t="default"/>
      </items>
    </pivotField>
    <pivotField axis="axisRow" compact="0" numFmtId="16" outline="0" showAll="0">
      <items count="125">
        <item x="106"/>
        <item x="110"/>
        <item x="113"/>
        <item x="117"/>
        <item x="3"/>
        <item x="6"/>
        <item x="16"/>
        <item x="21"/>
        <item x="25"/>
        <item x="28"/>
        <item x="34"/>
        <item x="39"/>
        <item x="48"/>
        <item x="51"/>
        <item x="62"/>
        <item x="67"/>
        <item x="82"/>
        <item x="86"/>
        <item x="91"/>
        <item x="97"/>
        <item x="100"/>
        <item x="43"/>
        <item x="94"/>
        <item x="102"/>
        <item x="105"/>
        <item x="112"/>
        <item x="116"/>
        <item x="121"/>
        <item x="10"/>
        <item x="15"/>
        <item x="20"/>
        <item x="24"/>
        <item x="33"/>
        <item x="38"/>
        <item x="56"/>
        <item x="61"/>
        <item x="66"/>
        <item x="72"/>
        <item x="76"/>
        <item x="81"/>
        <item x="85"/>
        <item x="1"/>
        <item x="45"/>
        <item x="103"/>
        <item x="108"/>
        <item x="118"/>
        <item x="122"/>
        <item x="7"/>
        <item x="12"/>
        <item x="18"/>
        <item x="22"/>
        <item x="26"/>
        <item x="36"/>
        <item x="41"/>
        <item x="49"/>
        <item x="53"/>
        <item x="58"/>
        <item x="69"/>
        <item x="73"/>
        <item x="78"/>
        <item x="83"/>
        <item x="88"/>
        <item x="98"/>
        <item x="101"/>
        <item x="0"/>
        <item x="115"/>
        <item x="120"/>
        <item x="9"/>
        <item x="14"/>
        <item x="19"/>
        <item x="23"/>
        <item x="27"/>
        <item x="30"/>
        <item x="32"/>
        <item x="47"/>
        <item x="50"/>
        <item x="55"/>
        <item x="60"/>
        <item x="65"/>
        <item x="71"/>
        <item x="75"/>
        <item x="80"/>
        <item x="84"/>
        <item x="90"/>
        <item x="96"/>
        <item x="2"/>
        <item x="46"/>
        <item x="95"/>
        <item x="104"/>
        <item x="109"/>
        <item x="114"/>
        <item x="119"/>
        <item x="123"/>
        <item x="5"/>
        <item x="8"/>
        <item x="13"/>
        <item x="29"/>
        <item x="31"/>
        <item x="37"/>
        <item x="42"/>
        <item x="54"/>
        <item x="59"/>
        <item x="64"/>
        <item x="70"/>
        <item x="74"/>
        <item x="79"/>
        <item x="89"/>
        <item x="93"/>
        <item x="99"/>
        <item x="44"/>
        <item x="107"/>
        <item x="111"/>
        <item x="4"/>
        <item x="11"/>
        <item x="17"/>
        <item x="35"/>
        <item x="40"/>
        <item x="52"/>
        <item x="57"/>
        <item x="63"/>
        <item x="68"/>
        <item x="77"/>
        <item x="87"/>
        <item x="9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4"/>
    <field x="3"/>
  </rowFields>
  <rowItems count="143">
    <i>
      <x v="1"/>
      <x v="4"/>
    </i>
    <i t="default">
      <x v="1"/>
    </i>
    <i>
      <x v="2"/>
      <x v="1"/>
    </i>
    <i t="default">
      <x v="2"/>
    </i>
    <i>
      <x v="4"/>
      <x v="4"/>
    </i>
    <i t="default">
      <x v="4"/>
    </i>
    <i>
      <x v="5"/>
      <x v="1"/>
    </i>
    <i r="1">
      <x v="4"/>
    </i>
    <i t="default">
      <x v="5"/>
    </i>
    <i>
      <x v="7"/>
      <x v="4"/>
    </i>
    <i t="default">
      <x v="7"/>
    </i>
    <i>
      <x v="8"/>
      <x v="1"/>
    </i>
    <i t="default">
      <x v="8"/>
    </i>
    <i>
      <x v="9"/>
      <x v="4"/>
    </i>
    <i t="default">
      <x v="9"/>
    </i>
    <i>
      <x v="10"/>
      <x v="1"/>
    </i>
    <i t="default">
      <x v="10"/>
    </i>
    <i>
      <x v="11"/>
      <x v="1"/>
    </i>
    <i t="default">
      <x v="11"/>
    </i>
    <i>
      <x v="12"/>
      <x v="1"/>
    </i>
    <i t="default">
      <x v="12"/>
    </i>
    <i>
      <x v="13"/>
      <x v="4"/>
    </i>
    <i t="default">
      <x v="13"/>
    </i>
    <i>
      <x v="14"/>
      <x v="4"/>
    </i>
    <i t="default">
      <x v="14"/>
    </i>
    <i>
      <x v="19"/>
      <x v="4"/>
    </i>
    <i t="default">
      <x v="19"/>
    </i>
    <i>
      <x v="21"/>
      <x v="1"/>
    </i>
    <i r="1">
      <x v="4"/>
    </i>
    <i t="default">
      <x v="21"/>
    </i>
    <i>
      <x v="22"/>
      <x v="4"/>
    </i>
    <i t="default">
      <x v="22"/>
    </i>
    <i>
      <x v="25"/>
      <x v="1"/>
    </i>
    <i t="default">
      <x v="25"/>
    </i>
    <i>
      <x v="26"/>
      <x v="1"/>
    </i>
    <i t="default">
      <x v="26"/>
    </i>
    <i>
      <x v="28"/>
      <x v="4"/>
    </i>
    <i t="default">
      <x v="28"/>
    </i>
    <i>
      <x v="30"/>
      <x v="1"/>
    </i>
    <i t="default">
      <x v="30"/>
    </i>
    <i>
      <x v="31"/>
      <x v="1"/>
    </i>
    <i t="default">
      <x v="31"/>
    </i>
    <i>
      <x v="32"/>
      <x v="4"/>
    </i>
    <i t="default">
      <x v="32"/>
    </i>
    <i>
      <x v="33"/>
      <x v="4"/>
    </i>
    <i t="default">
      <x v="33"/>
    </i>
    <i>
      <x v="35"/>
      <x v="4"/>
    </i>
    <i t="default">
      <x v="35"/>
    </i>
    <i>
      <x v="37"/>
      <x v="1"/>
    </i>
    <i t="default">
      <x v="37"/>
    </i>
    <i>
      <x v="41"/>
      <x v="1"/>
    </i>
    <i t="default">
      <x v="41"/>
    </i>
    <i>
      <x v="43"/>
      <x v="1"/>
    </i>
    <i t="default">
      <x v="43"/>
    </i>
    <i>
      <x v="46"/>
      <x v="4"/>
    </i>
    <i t="default">
      <x v="46"/>
    </i>
    <i>
      <x v="47"/>
      <x v="1"/>
    </i>
    <i t="default">
      <x v="47"/>
    </i>
    <i>
      <x v="48"/>
      <x v="1"/>
    </i>
    <i t="default">
      <x v="48"/>
    </i>
    <i>
      <x v="51"/>
      <x v="4"/>
    </i>
    <i t="default">
      <x v="51"/>
    </i>
    <i>
      <x v="52"/>
      <x v="4"/>
    </i>
    <i t="default">
      <x v="52"/>
    </i>
    <i>
      <x v="53"/>
      <x v="4"/>
    </i>
    <i t="default">
      <x v="53"/>
    </i>
    <i>
      <x v="54"/>
      <x v="1"/>
    </i>
    <i t="default">
      <x v="54"/>
    </i>
    <i>
      <x v="55"/>
      <x v="4"/>
    </i>
    <i t="default">
      <x v="55"/>
    </i>
    <i>
      <x v="56"/>
      <x v="4"/>
    </i>
    <i t="default">
      <x v="56"/>
    </i>
    <i>
      <x v="59"/>
      <x v="1"/>
    </i>
    <i t="default">
      <x v="59"/>
    </i>
    <i>
      <x v="60"/>
      <x v="4"/>
    </i>
    <i t="default">
      <x v="60"/>
    </i>
    <i>
      <x v="62"/>
      <x v="4"/>
    </i>
    <i t="default">
      <x v="62"/>
    </i>
    <i>
      <x v="64"/>
      <x v="1"/>
    </i>
    <i t="default">
      <x v="64"/>
    </i>
    <i>
      <x v="66"/>
      <x v="4"/>
    </i>
    <i t="default">
      <x v="66"/>
    </i>
    <i>
      <x v="68"/>
      <x v="1"/>
    </i>
    <i r="1">
      <x v="4"/>
    </i>
    <i t="default">
      <x v="68"/>
    </i>
    <i>
      <x v="70"/>
      <x v="1"/>
    </i>
    <i r="1">
      <x v="4"/>
    </i>
    <i t="default">
      <x v="70"/>
    </i>
    <i>
      <x v="73"/>
      <x v="4"/>
    </i>
    <i t="default">
      <x v="73"/>
    </i>
    <i>
      <x v="74"/>
      <x v="4"/>
    </i>
    <i t="default">
      <x v="74"/>
    </i>
    <i>
      <x v="76"/>
      <x v="1"/>
    </i>
    <i t="default">
      <x v="76"/>
    </i>
    <i>
      <x v="81"/>
      <x v="1"/>
    </i>
    <i t="default">
      <x v="81"/>
    </i>
    <i>
      <x v="83"/>
      <x v="1"/>
    </i>
    <i t="default">
      <x v="83"/>
    </i>
    <i>
      <x v="84"/>
      <x v="4"/>
    </i>
    <i t="default">
      <x v="84"/>
    </i>
    <i>
      <x v="85"/>
      <x v="1"/>
    </i>
    <i t="default">
      <x v="85"/>
    </i>
    <i>
      <x v="88"/>
      <x v="4"/>
    </i>
    <i t="default">
      <x v="88"/>
    </i>
    <i>
      <x v="89"/>
      <x v="1"/>
    </i>
    <i t="default">
      <x v="89"/>
    </i>
    <i>
      <x v="90"/>
      <x v="1"/>
    </i>
    <i t="default">
      <x v="90"/>
    </i>
    <i>
      <x v="91"/>
      <x v="1"/>
    </i>
    <i t="default">
      <x v="91"/>
    </i>
    <i>
      <x v="94"/>
      <x v="4"/>
    </i>
    <i t="default">
      <x v="94"/>
    </i>
    <i>
      <x v="96"/>
      <x v="4"/>
    </i>
    <i t="default">
      <x v="96"/>
    </i>
    <i>
      <x v="97"/>
      <x v="1"/>
    </i>
    <i t="default">
      <x v="97"/>
    </i>
    <i>
      <x v="98"/>
      <x v="4"/>
    </i>
    <i t="default">
      <x v="98"/>
    </i>
    <i>
      <x v="99"/>
      <x v="1"/>
    </i>
    <i t="default">
      <x v="99"/>
    </i>
    <i>
      <x v="101"/>
      <x v="4"/>
    </i>
    <i t="default">
      <x v="101"/>
    </i>
    <i>
      <x v="103"/>
      <x v="1"/>
    </i>
    <i t="default">
      <x v="103"/>
    </i>
    <i>
      <x v="104"/>
      <x v="4"/>
    </i>
    <i t="default">
      <x v="104"/>
    </i>
    <i>
      <x v="105"/>
      <x v="4"/>
    </i>
    <i t="default">
      <x v="105"/>
    </i>
    <i>
      <x v="107"/>
      <x v="4"/>
    </i>
    <i t="default">
      <x v="107"/>
    </i>
    <i>
      <x v="108"/>
      <x v="1"/>
    </i>
    <i t="default">
      <x v="108"/>
    </i>
    <i>
      <x v="109"/>
      <x v="4"/>
    </i>
    <i t="default">
      <x v="109"/>
    </i>
    <i>
      <x v="112"/>
      <x v="1"/>
    </i>
    <i t="default">
      <x v="112"/>
    </i>
    <i>
      <x v="114"/>
      <x v="1"/>
    </i>
    <i t="default">
      <x v="114"/>
    </i>
    <i>
      <x v="120"/>
      <x v="1"/>
    </i>
    <i t="default">
      <x v="120"/>
    </i>
    <i>
      <x v="122"/>
      <x v="1"/>
    </i>
    <i t="default">
      <x v="122"/>
    </i>
    <i t="grand">
      <x/>
    </i>
  </rowItems>
  <colItems count="1">
    <i/>
  </colItems>
  <dataFields count="1">
    <dataField name="Count of Call Number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filters count="1">
    <filter fld="4" type="thisYear" evalOrder="-1" id="3">
      <autoFilter ref="A1">
        <filterColumn colId="0">
          <dynamicFilter type="thisYear" val="46023" maxVal="46388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D003DA-C161-4272-95E3-607C0FC3167F}" name="PivotTable2" cacheId="4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G25:H95" firstHeaderRow="1" firstDataRow="1" firstDataCol="1"/>
  <pivotFields count="10">
    <pivotField compact="0" outline="0" showAll="0"/>
    <pivotField compact="0" outline="0" showAll="0"/>
    <pivotField compact="0" outline="0" showAll="0"/>
    <pivotField compact="0" outline="0" showAll="0">
      <items count="6">
        <item h="1" x="4"/>
        <item x="0"/>
        <item h="1" x="1"/>
        <item h="1" x="3"/>
        <item x="2"/>
        <item t="default"/>
      </items>
    </pivotField>
    <pivotField axis="axisRow" compact="0" numFmtId="16" outline="0" showAll="0">
      <items count="125">
        <item x="106"/>
        <item x="110"/>
        <item x="113"/>
        <item x="117"/>
        <item x="3"/>
        <item x="6"/>
        <item x="16"/>
        <item x="21"/>
        <item x="25"/>
        <item x="28"/>
        <item x="34"/>
        <item x="39"/>
        <item x="48"/>
        <item x="51"/>
        <item x="62"/>
        <item x="67"/>
        <item x="82"/>
        <item x="86"/>
        <item x="91"/>
        <item x="97"/>
        <item x="100"/>
        <item x="43"/>
        <item x="94"/>
        <item x="102"/>
        <item x="105"/>
        <item x="112"/>
        <item x="116"/>
        <item x="121"/>
        <item x="10"/>
        <item x="15"/>
        <item x="20"/>
        <item x="24"/>
        <item x="33"/>
        <item x="38"/>
        <item x="56"/>
        <item x="61"/>
        <item x="66"/>
        <item x="72"/>
        <item x="76"/>
        <item x="81"/>
        <item x="85"/>
        <item x="1"/>
        <item x="45"/>
        <item x="103"/>
        <item x="108"/>
        <item x="118"/>
        <item x="122"/>
        <item x="7"/>
        <item x="12"/>
        <item x="18"/>
        <item x="22"/>
        <item x="26"/>
        <item x="36"/>
        <item x="41"/>
        <item x="49"/>
        <item x="53"/>
        <item x="58"/>
        <item x="69"/>
        <item x="73"/>
        <item x="78"/>
        <item x="83"/>
        <item x="88"/>
        <item x="98"/>
        <item x="101"/>
        <item x="0"/>
        <item x="115"/>
        <item x="120"/>
        <item x="9"/>
        <item x="14"/>
        <item x="19"/>
        <item x="23"/>
        <item x="27"/>
        <item x="30"/>
        <item x="32"/>
        <item x="47"/>
        <item x="50"/>
        <item x="55"/>
        <item x="60"/>
        <item x="65"/>
        <item x="71"/>
        <item x="75"/>
        <item x="80"/>
        <item x="84"/>
        <item x="90"/>
        <item x="96"/>
        <item x="2"/>
        <item x="46"/>
        <item x="95"/>
        <item x="104"/>
        <item x="109"/>
        <item x="114"/>
        <item x="119"/>
        <item x="123"/>
        <item x="5"/>
        <item x="8"/>
        <item x="13"/>
        <item x="29"/>
        <item x="31"/>
        <item x="37"/>
        <item x="42"/>
        <item x="54"/>
        <item x="59"/>
        <item x="64"/>
        <item x="70"/>
        <item x="74"/>
        <item x="79"/>
        <item x="89"/>
        <item x="93"/>
        <item x="99"/>
        <item x="44"/>
        <item x="107"/>
        <item x="111"/>
        <item x="4"/>
        <item x="11"/>
        <item x="17"/>
        <item x="35"/>
        <item x="40"/>
        <item x="52"/>
        <item x="57"/>
        <item x="63"/>
        <item x="68"/>
        <item x="77"/>
        <item x="87"/>
        <item x="92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70">
    <i>
      <x v="1"/>
    </i>
    <i>
      <x v="2"/>
    </i>
    <i>
      <x v="4"/>
    </i>
    <i>
      <x v="5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9"/>
    </i>
    <i>
      <x v="21"/>
    </i>
    <i>
      <x v="22"/>
    </i>
    <i>
      <x v="25"/>
    </i>
    <i>
      <x v="26"/>
    </i>
    <i>
      <x v="28"/>
    </i>
    <i>
      <x v="30"/>
    </i>
    <i>
      <x v="31"/>
    </i>
    <i>
      <x v="32"/>
    </i>
    <i>
      <x v="33"/>
    </i>
    <i>
      <x v="35"/>
    </i>
    <i>
      <x v="37"/>
    </i>
    <i>
      <x v="41"/>
    </i>
    <i>
      <x v="43"/>
    </i>
    <i>
      <x v="46"/>
    </i>
    <i>
      <x v="47"/>
    </i>
    <i>
      <x v="48"/>
    </i>
    <i>
      <x v="51"/>
    </i>
    <i>
      <x v="52"/>
    </i>
    <i>
      <x v="53"/>
    </i>
    <i>
      <x v="54"/>
    </i>
    <i>
      <x v="55"/>
    </i>
    <i>
      <x v="56"/>
    </i>
    <i>
      <x v="59"/>
    </i>
    <i>
      <x v="60"/>
    </i>
    <i>
      <x v="62"/>
    </i>
    <i>
      <x v="64"/>
    </i>
    <i>
      <x v="66"/>
    </i>
    <i>
      <x v="68"/>
    </i>
    <i>
      <x v="70"/>
    </i>
    <i>
      <x v="73"/>
    </i>
    <i>
      <x v="74"/>
    </i>
    <i>
      <x v="76"/>
    </i>
    <i>
      <x v="81"/>
    </i>
    <i>
      <x v="83"/>
    </i>
    <i>
      <x v="84"/>
    </i>
    <i>
      <x v="85"/>
    </i>
    <i>
      <x v="88"/>
    </i>
    <i>
      <x v="89"/>
    </i>
    <i>
      <x v="90"/>
    </i>
    <i>
      <x v="91"/>
    </i>
    <i>
      <x v="94"/>
    </i>
    <i>
      <x v="96"/>
    </i>
    <i>
      <x v="97"/>
    </i>
    <i>
      <x v="98"/>
    </i>
    <i>
      <x v="99"/>
    </i>
    <i>
      <x v="101"/>
    </i>
    <i>
      <x v="103"/>
    </i>
    <i>
      <x v="104"/>
    </i>
    <i>
      <x v="105"/>
    </i>
    <i>
      <x v="107"/>
    </i>
    <i>
      <x v="108"/>
    </i>
    <i>
      <x v="109"/>
    </i>
    <i>
      <x v="112"/>
    </i>
    <i>
      <x v="114"/>
    </i>
    <i>
      <x v="120"/>
    </i>
    <i>
      <x v="122"/>
    </i>
    <i t="grand">
      <x/>
    </i>
  </rowItems>
  <colItems count="1">
    <i/>
  </colItems>
  <dataFields count="1">
    <dataField name="Sum of Purchase Amount" fld="5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filters count="1">
    <filter fld="4" type="thisYear" evalOrder="-1" id="3">
      <autoFilter ref="A1">
        <filterColumn colId="0">
          <dynamicFilter type="thisYear" val="46023" maxVal="46388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9A24F7-6022-4568-B79B-F616A91A211D}" name="PivotTable3" cacheId="4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K9" firstHeaderRow="1" firstDataRow="2" firstDataCol="1"/>
  <pivotFields count="10">
    <pivotField dataField="1" compact="0" outline="0" showAll="0"/>
    <pivotField compact="0" outline="0" showAll="0"/>
    <pivotField compact="0" outline="0" showAll="0"/>
    <pivotField axis="axisRow" compact="0" outline="0" showAll="0">
      <items count="6">
        <item x="4"/>
        <item x="0"/>
        <item x="1"/>
        <item x="3"/>
        <item x="2"/>
        <item t="default"/>
      </items>
    </pivotField>
    <pivotField axis="axisCol" compact="0" numFmtId="16" outline="0" showAll="0">
      <items count="125">
        <item x="106"/>
        <item x="110"/>
        <item h="1" x="113"/>
        <item h="1" x="117"/>
        <item h="1" x="3"/>
        <item h="1" x="6"/>
        <item h="1" x="16"/>
        <item h="1" x="21"/>
        <item h="1" x="25"/>
        <item h="1" x="28"/>
        <item h="1" x="34"/>
        <item h="1" x="39"/>
        <item h="1" x="48"/>
        <item h="1" x="51"/>
        <item h="1" x="62"/>
        <item h="1" x="67"/>
        <item h="1" x="82"/>
        <item h="1" x="86"/>
        <item h="1" x="91"/>
        <item h="1" x="97"/>
        <item h="1" x="100"/>
        <item x="43"/>
        <item x="94"/>
        <item h="1" x="102"/>
        <item h="1" x="105"/>
        <item h="1" x="112"/>
        <item h="1" x="116"/>
        <item h="1" x="121"/>
        <item h="1" x="10"/>
        <item h="1" x="15"/>
        <item h="1" x="20"/>
        <item h="1" x="24"/>
        <item h="1" x="33"/>
        <item h="1" x="38"/>
        <item h="1" x="56"/>
        <item h="1" x="61"/>
        <item h="1" x="66"/>
        <item h="1" x="72"/>
        <item h="1" x="76"/>
        <item h="1" x="81"/>
        <item h="1" x="85"/>
        <item h="1" x="1"/>
        <item h="1" x="45"/>
        <item h="1" x="103"/>
        <item h="1" x="108"/>
        <item h="1" x="118"/>
        <item h="1" x="122"/>
        <item h="1" x="7"/>
        <item h="1" x="12"/>
        <item h="1" x="18"/>
        <item h="1" x="22"/>
        <item h="1" x="26"/>
        <item h="1" x="36"/>
        <item h="1" x="41"/>
        <item h="1" x="49"/>
        <item h="1" x="53"/>
        <item h="1" x="58"/>
        <item h="1" x="69"/>
        <item h="1" x="73"/>
        <item h="1" x="78"/>
        <item h="1" x="83"/>
        <item h="1" x="88"/>
        <item x="98"/>
        <item x="101"/>
        <item h="1" x="0"/>
        <item h="1" x="115"/>
        <item h="1" x="120"/>
        <item h="1" x="9"/>
        <item h="1" x="14"/>
        <item h="1" x="19"/>
        <item h="1" x="23"/>
        <item h="1" x="27"/>
        <item h="1" x="30"/>
        <item x="32"/>
        <item x="47"/>
        <item h="1" x="50"/>
        <item h="1" x="55"/>
        <item h="1" x="60"/>
        <item h="1" x="65"/>
        <item h="1" x="71"/>
        <item h="1" x="75"/>
        <item h="1" x="80"/>
        <item h="1" x="84"/>
        <item h="1" x="90"/>
        <item h="1" x="96"/>
        <item h="1" x="2"/>
        <item h="1" x="46"/>
        <item h="1" x="95"/>
        <item h="1" x="104"/>
        <item h="1" x="109"/>
        <item h="1" x="114"/>
        <item h="1" x="119"/>
        <item h="1" x="123"/>
        <item h="1" x="5"/>
        <item h="1" x="8"/>
        <item h="1" x="13"/>
        <item h="1" x="29"/>
        <item x="31"/>
        <item h="1" x="37"/>
        <item h="1" x="42"/>
        <item h="1" x="54"/>
        <item h="1" x="59"/>
        <item h="1" x="64"/>
        <item h="1" x="70"/>
        <item h="1" x="74"/>
        <item h="1" x="79"/>
        <item h="1" x="89"/>
        <item h="1" x="93"/>
        <item h="1" x="99"/>
        <item h="1" x="44"/>
        <item h="1" x="107"/>
        <item h="1" x="111"/>
        <item h="1" x="4"/>
        <item h="1" x="11"/>
        <item h="1" x="17"/>
        <item h="1" x="35"/>
        <item h="1" x="40"/>
        <item h="1" x="52"/>
        <item h="1" x="57"/>
        <item h="1" x="63"/>
        <item h="1" x="68"/>
        <item h="1" x="77"/>
        <item h="1" x="87"/>
        <item h="1" x="9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5">
    <i>
      <x v="1"/>
    </i>
    <i>
      <x v="2"/>
    </i>
    <i>
      <x v="3"/>
    </i>
    <i>
      <x v="4"/>
    </i>
    <i t="grand">
      <x/>
    </i>
  </rowItems>
  <colFields count="1">
    <field x="4"/>
  </colFields>
  <colItems count="10">
    <i>
      <x/>
    </i>
    <i>
      <x v="1"/>
    </i>
    <i>
      <x v="21"/>
    </i>
    <i>
      <x v="22"/>
    </i>
    <i>
      <x v="62"/>
    </i>
    <i>
      <x v="63"/>
    </i>
    <i>
      <x v="73"/>
    </i>
    <i>
      <x v="74"/>
    </i>
    <i>
      <x v="97"/>
    </i>
    <i t="grand">
      <x/>
    </i>
  </colItems>
  <dataFields count="1">
    <dataField name="Count of Call Number" fld="0" subtotal="count" showDataAs="percentOfCol" baseField="0" baseItem="0" numFmtId="1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0E81B9-F175-43C4-8054-17F591490564}" name="PivotTable1" cacheId="4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G9" firstHeaderRow="1" firstDataRow="2" firstDataCol="1"/>
  <pivotFields count="10">
    <pivotField dataField="1" compact="0" outline="0" showAll="0"/>
    <pivotField compact="0" outline="0" showAll="0"/>
    <pivotField compact="0" outline="0" showAll="0"/>
    <pivotField compact="0" outline="0" showAll="0"/>
    <pivotField compact="0" numFmtId="16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1"/>
        <item x="3"/>
        <item x="0"/>
        <item t="default"/>
      </items>
    </pivotField>
    <pivotField axis="axisCol" compact="0" outline="0" showAll="0">
      <items count="6">
        <item x="3"/>
        <item x="0"/>
        <item x="1"/>
        <item x="2"/>
        <item x="4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9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Call Number" fld="0" subtotal="count" baseField="0" baseItem="0"/>
  </dataFields>
  <conditionalFormats count="4">
    <conditionalFormat priority="4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8" count="1" selected="0">
              <x v="2"/>
            </reference>
            <reference field="9" count="1" selected="0">
              <x v="3"/>
            </reference>
          </references>
        </pivotArea>
      </pivotAreas>
    </conditionalFormat>
    <conditionalFormat priority="5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8" count="1" selected="0">
              <x v="2"/>
            </reference>
            <reference field="9" count="1" selected="0">
              <x v="2"/>
            </reference>
          </references>
        </pivotArea>
      </pivotAreas>
    </conditionalFormat>
    <conditionalFormat priority="3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8" count="1" selected="0">
              <x v="1"/>
            </reference>
            <reference field="9" count="1" selected="0">
              <x v="0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8" count="1" selected="0">
              <x v="2"/>
            </reference>
            <reference field="9" count="1" selected="0">
              <x v="2"/>
            </reference>
          </references>
        </pivotArea>
      </pivotAreas>
    </conditionalFormat>
  </conditional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E28A4A-4B11-47C0-ABC9-4C0BB2186BC4}" name="PivotTable1" cacheId="4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33" firstHeaderRow="0" firstDataRow="1" firstDataCol="1"/>
  <pivotFields count="10">
    <pivotField dataField="1" compact="0" outline="0" showAll="0"/>
    <pivotField axis="axisRow" compact="0" outline="0" showAll="0">
      <items count="30">
        <item x="1"/>
        <item x="22"/>
        <item x="3"/>
        <item x="20"/>
        <item x="9"/>
        <item x="0"/>
        <item x="19"/>
        <item x="27"/>
        <item x="5"/>
        <item x="4"/>
        <item x="14"/>
        <item x="7"/>
        <item x="13"/>
        <item x="26"/>
        <item x="11"/>
        <item x="18"/>
        <item x="25"/>
        <item x="21"/>
        <item x="2"/>
        <item x="10"/>
        <item x="16"/>
        <item x="8"/>
        <item x="12"/>
        <item x="6"/>
        <item x="28"/>
        <item x="24"/>
        <item x="17"/>
        <item x="23"/>
        <item x="15"/>
        <item t="default"/>
      </items>
    </pivotField>
    <pivotField compact="0" outline="0" showAll="0"/>
    <pivotField compact="0" outline="0" showAll="0"/>
    <pivotField compact="0" numFmtId="16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all Number" fld="0" subtotal="count" baseField="0" baseItem="0"/>
    <dataField name="Average of Satisfaction Rating" fld="6" subtotal="average" baseField="0" baseItem="0" numFmtId="164"/>
  </dataFields>
  <formats count="1">
    <format dxfId="13">
      <pivotArea outline="0" fieldPosition="0">
        <references count="1">
          <reference field="4294967294" count="1" selected="0">
            <x v="1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B6FBF6-7770-4126-A884-301D44E34EB8}" name="PivotTable1" cacheId="4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5:D123" firstHeaderRow="1" firstDataRow="1" firstDataCol="1"/>
  <pivotFields count="10">
    <pivotField compact="0" outline="0" showAll="0"/>
    <pivotField dataField="1" compact="0" outline="0" showAll="0"/>
    <pivotField axis="axisRow" compact="0" outline="0" showAll="0">
      <items count="118">
        <item x="44"/>
        <item x="98"/>
        <item x="80"/>
        <item x="41"/>
        <item x="38"/>
        <item x="76"/>
        <item x="84"/>
        <item x="3"/>
        <item x="66"/>
        <item x="24"/>
        <item x="100"/>
        <item x="94"/>
        <item x="15"/>
        <item x="40"/>
        <item x="1"/>
        <item x="52"/>
        <item x="7"/>
        <item x="78"/>
        <item x="86"/>
        <item x="25"/>
        <item x="14"/>
        <item x="70"/>
        <item x="82"/>
        <item x="4"/>
        <item x="64"/>
        <item x="36"/>
        <item x="63"/>
        <item x="88"/>
        <item x="116"/>
        <item x="37"/>
        <item x="83"/>
        <item x="19"/>
        <item x="95"/>
        <item x="49"/>
        <item x="109"/>
        <item x="107"/>
        <item x="20"/>
        <item x="92"/>
        <item x="105"/>
        <item x="71"/>
        <item x="8"/>
        <item x="42"/>
        <item x="21"/>
        <item x="99"/>
        <item x="79"/>
        <item x="59"/>
        <item x="96"/>
        <item x="57"/>
        <item x="54"/>
        <item x="23"/>
        <item x="77"/>
        <item x="16"/>
        <item x="34"/>
        <item x="62"/>
        <item x="50"/>
        <item x="17"/>
        <item x="43"/>
        <item x="72"/>
        <item x="35"/>
        <item x="90"/>
        <item x="27"/>
        <item x="73"/>
        <item x="53"/>
        <item x="111"/>
        <item x="39"/>
        <item x="11"/>
        <item x="60"/>
        <item x="32"/>
        <item x="51"/>
        <item x="89"/>
        <item x="85"/>
        <item x="68"/>
        <item x="5"/>
        <item x="69"/>
        <item x="87"/>
        <item x="12"/>
        <item x="97"/>
        <item x="61"/>
        <item x="28"/>
        <item x="13"/>
        <item x="67"/>
        <item x="112"/>
        <item x="56"/>
        <item x="75"/>
        <item x="101"/>
        <item x="22"/>
        <item x="48"/>
        <item x="29"/>
        <item x="0"/>
        <item x="104"/>
        <item x="18"/>
        <item x="74"/>
        <item x="30"/>
        <item x="31"/>
        <item x="6"/>
        <item x="26"/>
        <item x="113"/>
        <item x="46"/>
        <item x="91"/>
        <item x="58"/>
        <item x="114"/>
        <item x="2"/>
        <item x="110"/>
        <item x="47"/>
        <item x="103"/>
        <item x="65"/>
        <item x="81"/>
        <item x="45"/>
        <item x="115"/>
        <item x="108"/>
        <item x="102"/>
        <item x="9"/>
        <item x="33"/>
        <item x="55"/>
        <item x="10"/>
        <item x="93"/>
        <item x="106"/>
        <item t="default"/>
      </items>
    </pivotField>
    <pivotField compact="0" outline="0" showAll="0"/>
    <pivotField compact="0" numFmtId="16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1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 t="grand">
      <x/>
    </i>
  </rowItems>
  <colItems count="1">
    <i/>
  </colItems>
  <dataFields count="1">
    <dataField name="Count of Customer ID" fld="1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770382-A16B-464A-9200-8D5417AF8752}" name="PivotTable1" cacheId="4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I10" firstHeaderRow="1" firstDataRow="2" firstDataCol="1"/>
  <pivotFields count="10">
    <pivotField dataField="1" compact="0" outline="0" showAll="0"/>
    <pivotField compact="0" outline="0" showAll="0"/>
    <pivotField compact="0" outline="0" showAll="0"/>
    <pivotField axis="axisRow" compact="0" outline="0" showAll="0">
      <items count="6">
        <item x="4"/>
        <item x="0"/>
        <item x="1"/>
        <item x="3"/>
        <item x="2"/>
        <item t="default"/>
      </items>
    </pivotField>
    <pivotField compact="0" numFmtId="16" outline="0" showAll="0"/>
    <pivotField compact="0" outline="0" showAll="0"/>
    <pivotField compact="0" outline="0" showAll="0"/>
    <pivotField axis="axisCol" compact="0" outline="0" showAll="0">
      <items count="8">
        <item x="1"/>
        <item x="4"/>
        <item x="6"/>
        <item x="0"/>
        <item x="5"/>
        <item x="2"/>
        <item x="3"/>
        <item t="default"/>
      </items>
    </pivotField>
    <pivotField compact="0" outline="0" showAll="0"/>
    <pivotField compact="0" outline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7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Call Number" fld="0" subtotal="count" baseField="0" baseItem="0"/>
  </dataFields>
  <formats count="1">
    <format dxfId="12">
      <pivotArea field="3" grandCol="1" outline="0" axis="axisRow" fieldPosition="0">
        <references count="1">
          <reference field="3" count="0" selected="0"/>
        </references>
      </pivotArea>
    </format>
  </formats>
  <conditionalFormats count="1">
    <conditionalFormat priority="3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3" count="5" selected="0">
              <x v="0"/>
              <x v="1"/>
              <x v="2"/>
              <x v="3"/>
              <x v="4"/>
            </reference>
            <reference field="7" count="7" selected="0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presentative" xr10:uid="{6C863404-2632-4E1B-B747-119A8155BC98}" sourceName="Representative">
  <pivotTables>
    <pivotTable tabId="4" name="PivotTable2"/>
  </pivotTables>
  <data>
    <tabular pivotCacheId="490094078">
      <items count="5">
        <i x="4"/>
        <i x="0"/>
        <i x="1" s="1"/>
        <i x="3"/>
        <i x="2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presentative1" xr10:uid="{13DCA2DA-DE93-4180-9BDB-AC6E312C358D}" sourceName="Representative">
  <pivotTables>
    <pivotTable tabId="6" name="PivotTable1"/>
    <pivotTable tabId="6" name="PivotTable2"/>
  </pivotTables>
  <data>
    <tabular pivotCacheId="490094078">
      <items count="5">
        <i x="4"/>
        <i x="0" s="1"/>
        <i x="1"/>
        <i x="3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presentative" xr10:uid="{65617CBC-80C2-44FF-B0F0-AC38485FDEBF}" cache="Slicer_Representative" caption="Representative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presentative 1" xr10:uid="{6BBEC383-88F6-4BE3-8770-3BFD78AA0E57}" cache="Slicer_Representative1" caption="Representative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8CD507-E226-439A-BDAB-54B658919A53}" name="Table1" displayName="Table1" ref="A6:J206" totalsRowShown="0" headerRowDxfId="11" dataDxfId="10">
  <autoFilter ref="A6:J206" xr:uid="{5B8CD507-E226-439A-BDAB-54B658919A53}"/>
  <tableColumns count="10">
    <tableColumn id="1" xr3:uid="{78F2DE89-1713-4C88-A6AC-514D2636222C}" name="Call Number" dataDxfId="9"/>
    <tableColumn id="2" xr3:uid="{7F8A83AF-497B-482C-8E1A-AD54BC2035E9}" name="Customer ID" dataDxfId="8"/>
    <tableColumn id="3" xr3:uid="{7C5031F0-9C4D-4539-80F0-80B201E8A8C2}" name="Duration" dataDxfId="7"/>
    <tableColumn id="4" xr3:uid="{45C3F6E4-475B-4FA1-96CC-FA798AA3F4B6}" name="Representative" dataDxfId="6"/>
    <tableColumn id="5" xr3:uid="{E3BDE67E-83F6-4D17-BFA1-7DCDA2CE87C9}" name="Date of Call" dataDxfId="5"/>
    <tableColumn id="6" xr3:uid="{56D637E4-338C-438C-AD5E-669B5ED366A3}" name="Purchase Amount" dataDxfId="4"/>
    <tableColumn id="7" xr3:uid="{659DBA65-F34A-49F8-BB7D-F932D0454BE0}" name="Satisfaction Rating" dataDxfId="3"/>
    <tableColumn id="8" xr3:uid="{25563667-54A2-44CF-AC58-9AC87A9825D5}" name="Date of Week" dataDxfId="2">
      <calculatedColumnFormula>TEXT(Table1[[#This Row],[Date of Call]],"DDDD")</calculatedColumnFormula>
    </tableColumn>
    <tableColumn id="9" xr3:uid="{8E865B9C-9D85-4BE8-B22A-108D18E4010B}" name="Duraration Buckes" dataDxfId="1">
      <calculatedColumnFormula array="1">_xlfn.IFS(Table1[[#This Row],[Duration]]&lt;=10,"Under 10 mins",Table1[[#This Row],[Duration]]&lt;=30,"10 to 30 mins",Table1[[#This Row],[Duration]]&lt;=60,"30 to 60 min",Table1[[#This Row],[Duration]]&lt;=120,"1to2 hours",TRUE,"More than 2 hours")</calculatedColumnFormula>
    </tableColumn>
    <tableColumn id="10" xr3:uid="{04E00462-C089-4150-A422-FEA29256AC53}" name="Rating Rounded" dataDxfId="0">
      <calculatedColumnFormula>ROUND(Table1[[#This Row],[Satisfaction Rating]],0)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microsoft.com/office/2007/relationships/slicer" Target="../slicers/slicer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206"/>
  <sheetViews>
    <sheetView tabSelected="1" workbookViewId="0">
      <selection activeCell="E2" sqref="E2"/>
    </sheetView>
  </sheetViews>
  <sheetFormatPr defaultRowHeight="15"/>
  <cols>
    <col min="1" max="1" width="14.140625" bestFit="1" customWidth="1"/>
    <col min="2" max="2" width="12" customWidth="1"/>
    <col min="3" max="3" width="11" bestFit="1" customWidth="1"/>
    <col min="4" max="4" width="16.7109375" bestFit="1" customWidth="1"/>
    <col min="5" max="5" width="13.42578125" bestFit="1" customWidth="1"/>
    <col min="6" max="6" width="19" bestFit="1" customWidth="1"/>
    <col min="7" max="7" width="19.7109375" bestFit="1" customWidth="1"/>
    <col min="8" max="8" width="18.5703125" bestFit="1" customWidth="1"/>
    <col min="9" max="9" width="36.5703125" bestFit="1" customWidth="1"/>
    <col min="10" max="10" width="17.42578125" bestFit="1" customWidth="1"/>
  </cols>
  <sheetData>
    <row r="3" spans="1:12" ht="24.75" customHeight="1">
      <c r="A3" s="17"/>
      <c r="B3" s="18" t="s">
        <v>0</v>
      </c>
      <c r="C3" s="18"/>
      <c r="D3" s="18"/>
      <c r="E3" s="16"/>
    </row>
    <row r="6" spans="1:12">
      <c r="A6" s="3" t="s">
        <v>1</v>
      </c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</row>
    <row r="7" spans="1:12" ht="18.75" customHeight="1">
      <c r="A7" s="1" t="s">
        <v>11</v>
      </c>
      <c r="B7" s="1" t="s">
        <v>12</v>
      </c>
      <c r="C7" s="1">
        <v>139</v>
      </c>
      <c r="D7" s="1" t="s">
        <v>13</v>
      </c>
      <c r="E7" s="2">
        <v>46113</v>
      </c>
      <c r="F7" s="1">
        <v>76</v>
      </c>
      <c r="G7" s="1">
        <v>2.4</v>
      </c>
      <c r="H7" s="10" t="str">
        <f>TEXT(Table1[[#This Row],[Date of Call]],"DDDD")</f>
        <v>Wednesday</v>
      </c>
      <c r="I7" s="12" t="str" cm="1">
        <f t="array" ref="I7">_xlfn.IFS(Table1[[#This Row],[Duration]]&lt;=10,"Under 10 mins",Table1[[#This Row],[Duration]]&lt;=30,"10 to 30 mins",Table1[[#This Row],[Duration]]&lt;=60,"30 to 60 min",Table1[[#This Row],[Duration]]&lt;=120,"1to2 hours",TRUE,"More than 2 hours")</f>
        <v>More than 2 hours</v>
      </c>
      <c r="J7" s="10">
        <f>ROUND(Table1[[#This Row],[Satisfaction Rating]],0)</f>
        <v>2</v>
      </c>
    </row>
    <row r="8" spans="1:12">
      <c r="A8" s="1" t="s">
        <v>14</v>
      </c>
      <c r="B8" s="1" t="s">
        <v>15</v>
      </c>
      <c r="C8" s="1">
        <v>38</v>
      </c>
      <c r="D8" s="1" t="s">
        <v>13</v>
      </c>
      <c r="E8" s="2">
        <v>46082</v>
      </c>
      <c r="F8" s="1">
        <v>139</v>
      </c>
      <c r="G8" s="1">
        <v>3.4</v>
      </c>
      <c r="H8" s="1" t="str">
        <f>TEXT(Table1[[#This Row],[Date of Call]],"DDDD")</f>
        <v>Sunday</v>
      </c>
      <c r="I8" s="13" t="str" cm="1">
        <f t="array" ref="I8">_xlfn.IFS(Table1[[#This Row],[Duration]]&lt;=10,"Under 10 mins",Table1[[#This Row],[Duration]]&lt;=30,"10 to 30 mins",Table1[[#This Row],[Duration]]&lt;=60,"30 to 60 min",Table1[[#This Row],[Duration]]&lt;=120,"1to2 hours",TRUE,"More than 2 hours")</f>
        <v>30 to 60 min</v>
      </c>
      <c r="J8" s="1">
        <f>ROUND(Table1[[#This Row],[Satisfaction Rating]],0)</f>
        <v>3</v>
      </c>
    </row>
    <row r="9" spans="1:12">
      <c r="A9" s="1" t="s">
        <v>16</v>
      </c>
      <c r="B9" s="1" t="s">
        <v>15</v>
      </c>
      <c r="C9" s="1">
        <v>161</v>
      </c>
      <c r="D9" s="1" t="s">
        <v>17</v>
      </c>
      <c r="E9" s="2">
        <v>46143</v>
      </c>
      <c r="F9" s="1">
        <v>132</v>
      </c>
      <c r="G9" s="1">
        <v>2.8</v>
      </c>
      <c r="H9" s="1" t="str">
        <f>TEXT(Table1[[#This Row],[Date of Call]],"DDDD")</f>
        <v>Friday</v>
      </c>
      <c r="I9" s="13" t="str" cm="1">
        <f t="array" ref="I9">_xlfn.IFS(Table1[[#This Row],[Duration]]&lt;=10,"Under 10 mins",Table1[[#This Row],[Duration]]&lt;=30,"10 to 30 mins",Table1[[#This Row],[Duration]]&lt;=60,"30 to 60 min",Table1[[#This Row],[Duration]]&lt;=120,"1to2 hours",TRUE,"More than 2 hours")</f>
        <v>More than 2 hours</v>
      </c>
      <c r="J9" s="1">
        <f>ROUND(Table1[[#This Row],[Satisfaction Rating]],0)</f>
        <v>3</v>
      </c>
    </row>
    <row r="10" spans="1:12">
      <c r="A10" s="1" t="s">
        <v>18</v>
      </c>
      <c r="B10" s="1" t="s">
        <v>19</v>
      </c>
      <c r="C10" s="1">
        <v>25</v>
      </c>
      <c r="D10" s="1" t="s">
        <v>13</v>
      </c>
      <c r="E10" s="2">
        <v>46143</v>
      </c>
      <c r="F10" s="1">
        <v>142</v>
      </c>
      <c r="G10" s="1">
        <v>3.6</v>
      </c>
      <c r="H10" s="1" t="str">
        <f>TEXT(Table1[[#This Row],[Date of Call]],"DDDD")</f>
        <v>Friday</v>
      </c>
      <c r="I10" s="13" t="str" cm="1">
        <f t="array" ref="I10">_xlfn.IFS(Table1[[#This Row],[Duration]]&lt;=10,"Under 10 mins",Table1[[#This Row],[Duration]]&lt;=30,"10 to 30 mins",Table1[[#This Row],[Duration]]&lt;=60,"30 to 60 min",Table1[[#This Row],[Duration]]&lt;=120,"1to2 hours",TRUE,"More than 2 hours")</f>
        <v>10 to 30 mins</v>
      </c>
      <c r="J10" s="1">
        <f>ROUND(Table1[[#This Row],[Satisfaction Rating]],0)</f>
        <v>4</v>
      </c>
    </row>
    <row r="11" spans="1:12">
      <c r="A11" s="1" t="s">
        <v>20</v>
      </c>
      <c r="B11" s="1" t="s">
        <v>21</v>
      </c>
      <c r="C11" s="1">
        <v>53</v>
      </c>
      <c r="D11" s="1" t="s">
        <v>22</v>
      </c>
      <c r="E11" s="2">
        <v>46032</v>
      </c>
      <c r="F11" s="1">
        <v>104</v>
      </c>
      <c r="G11" s="1">
        <v>3.3</v>
      </c>
      <c r="H11" s="1" t="str">
        <f>TEXT(Table1[[#This Row],[Date of Call]],"DDDD")</f>
        <v>Saturday</v>
      </c>
      <c r="I11" s="13" t="str" cm="1">
        <f t="array" ref="I11">_xlfn.IFS(Table1[[#This Row],[Duration]]&lt;=10,"Under 10 mins",Table1[[#This Row],[Duration]]&lt;=30,"10 to 30 mins",Table1[[#This Row],[Duration]]&lt;=60,"30 to 60 min",Table1[[#This Row],[Duration]]&lt;=120,"1to2 hours",TRUE,"More than 2 hours")</f>
        <v>30 to 60 min</v>
      </c>
      <c r="J11" s="1">
        <f>ROUND(Table1[[#This Row],[Satisfaction Rating]],0)</f>
        <v>3</v>
      </c>
    </row>
    <row r="12" spans="1:12">
      <c r="A12" s="1" t="s">
        <v>23</v>
      </c>
      <c r="B12" s="1" t="s">
        <v>24</v>
      </c>
      <c r="C12" s="1">
        <v>117</v>
      </c>
      <c r="D12" s="1" t="s">
        <v>22</v>
      </c>
      <c r="E12" s="2">
        <v>46032</v>
      </c>
      <c r="F12" s="1">
        <v>126</v>
      </c>
      <c r="G12" s="1">
        <v>1.4</v>
      </c>
      <c r="H12" s="1" t="str">
        <f>TEXT(Table1[[#This Row],[Date of Call]],"DDDD")</f>
        <v>Saturday</v>
      </c>
      <c r="I12" s="13" t="str" cm="1">
        <f t="array" ref="I12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12" s="1">
        <f>ROUND(Table1[[#This Row],[Satisfaction Rating]],0)</f>
        <v>1</v>
      </c>
    </row>
    <row r="13" spans="1:12">
      <c r="A13" s="1" t="s">
        <v>25</v>
      </c>
      <c r="B13" s="1" t="s">
        <v>26</v>
      </c>
      <c r="C13" s="1">
        <v>148</v>
      </c>
      <c r="D13" s="1" t="s">
        <v>27</v>
      </c>
      <c r="E13" s="2">
        <v>46183</v>
      </c>
      <c r="F13" s="1">
        <v>71</v>
      </c>
      <c r="G13" s="1">
        <v>2.1</v>
      </c>
      <c r="H13" s="1" t="str">
        <f>TEXT(Table1[[#This Row],[Date of Call]],"DDDD")</f>
        <v>Wednesday</v>
      </c>
      <c r="I13" s="13" t="str" cm="1">
        <f t="array" ref="I13">_xlfn.IFS(Table1[[#This Row],[Duration]]&lt;=10,"Under 10 mins",Table1[[#This Row],[Duration]]&lt;=30,"10 to 30 mins",Table1[[#This Row],[Duration]]&lt;=60,"30 to 60 min",Table1[[#This Row],[Duration]]&lt;=120,"1to2 hours",TRUE,"More than 2 hours")</f>
        <v>More than 2 hours</v>
      </c>
      <c r="J13" s="1">
        <f>ROUND(Table1[[#This Row],[Satisfaction Rating]],0)</f>
        <v>2</v>
      </c>
    </row>
    <row r="14" spans="1:12">
      <c r="A14" s="1" t="s">
        <v>28</v>
      </c>
      <c r="B14" s="1" t="s">
        <v>29</v>
      </c>
      <c r="C14" s="1">
        <v>40</v>
      </c>
      <c r="D14" s="1" t="s">
        <v>13</v>
      </c>
      <c r="E14" s="2">
        <v>46183</v>
      </c>
      <c r="F14" s="1">
        <v>64</v>
      </c>
      <c r="G14" s="1">
        <v>2.1</v>
      </c>
      <c r="H14" s="1" t="str">
        <f>TEXT(Table1[[#This Row],[Date of Call]],"DDDD")</f>
        <v>Wednesday</v>
      </c>
      <c r="I14" s="13" t="str" cm="1">
        <f t="array" ref="I14">_xlfn.IFS(Table1[[#This Row],[Duration]]&lt;=10,"Under 10 mins",Table1[[#This Row],[Duration]]&lt;=30,"10 to 30 mins",Table1[[#This Row],[Duration]]&lt;=60,"30 to 60 min",Table1[[#This Row],[Duration]]&lt;=120,"1to2 hours",TRUE,"More than 2 hours")</f>
        <v>30 to 60 min</v>
      </c>
      <c r="J14" s="1">
        <f>ROUND(Table1[[#This Row],[Satisfaction Rating]],0)</f>
        <v>2</v>
      </c>
      <c r="L14" t="s">
        <v>30</v>
      </c>
    </row>
    <row r="15" spans="1:12">
      <c r="A15" s="1" t="s">
        <v>31</v>
      </c>
      <c r="B15" s="1" t="s">
        <v>21</v>
      </c>
      <c r="C15" s="1">
        <v>74</v>
      </c>
      <c r="D15" s="1" t="s">
        <v>17</v>
      </c>
      <c r="E15" s="2">
        <v>46183</v>
      </c>
      <c r="F15" s="1">
        <v>160</v>
      </c>
      <c r="G15" s="1">
        <v>3.6</v>
      </c>
      <c r="H15" s="1" t="str">
        <f>TEXT(Table1[[#This Row],[Date of Call]],"DDDD")</f>
        <v>Wednesday</v>
      </c>
      <c r="I15" s="13" t="str" cm="1">
        <f t="array" ref="I15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15" s="1">
        <f>ROUND(Table1[[#This Row],[Satisfaction Rating]],0)</f>
        <v>4</v>
      </c>
    </row>
    <row r="16" spans="1:12">
      <c r="A16" s="1" t="s">
        <v>32</v>
      </c>
      <c r="B16" s="1" t="s">
        <v>33</v>
      </c>
      <c r="C16" s="1">
        <v>174</v>
      </c>
      <c r="D16" s="1" t="s">
        <v>27</v>
      </c>
      <c r="E16" s="2">
        <v>46183</v>
      </c>
      <c r="F16" s="1">
        <v>123</v>
      </c>
      <c r="G16" s="1">
        <v>4</v>
      </c>
      <c r="H16" s="1" t="str">
        <f>TEXT(Table1[[#This Row],[Date of Call]],"DDDD")</f>
        <v>Wednesday</v>
      </c>
      <c r="I16" s="1" t="str" cm="1">
        <f t="array" ref="I16">_xlfn.IFS(Table1[[#This Row],[Duration]]&lt;=10,"Under 10 mins",Table1[[#This Row],[Duration]]&lt;=30,"10 to 30 mins",Table1[[#This Row],[Duration]]&lt;=60,"30 to 60 min",Table1[[#This Row],[Duration]]&lt;=120,"1to2 hours",TRUE,"More than 2 hours")</f>
        <v>More than 2 hours</v>
      </c>
      <c r="J16" s="1">
        <f>ROUND(Table1[[#This Row],[Satisfaction Rating]],0)</f>
        <v>4</v>
      </c>
    </row>
    <row r="17" spans="1:10">
      <c r="A17" s="1" t="s">
        <v>34</v>
      </c>
      <c r="B17" s="1" t="s">
        <v>35</v>
      </c>
      <c r="C17" s="1">
        <v>177</v>
      </c>
      <c r="D17" s="1" t="s">
        <v>17</v>
      </c>
      <c r="E17" s="2">
        <v>46152</v>
      </c>
      <c r="F17" s="1">
        <v>135</v>
      </c>
      <c r="G17" s="1">
        <v>2</v>
      </c>
      <c r="H17" s="1" t="str">
        <f>TEXT(Table1[[#This Row],[Date of Call]],"DDDD")</f>
        <v>Sunday</v>
      </c>
      <c r="I17" s="1" t="str" cm="1">
        <f t="array" ref="I17">_xlfn.IFS(Table1[[#This Row],[Duration]]&lt;=10,"Under 10 mins",Table1[[#This Row],[Duration]]&lt;=30,"10 to 30 mins",Table1[[#This Row],[Duration]]&lt;=60,"30 to 60 min",Table1[[#This Row],[Duration]]&lt;=120,"1to2 hours",TRUE,"More than 2 hours")</f>
        <v>More than 2 hours</v>
      </c>
      <c r="J17" s="1">
        <f>ROUND(Table1[[#This Row],[Satisfaction Rating]],0)</f>
        <v>2</v>
      </c>
    </row>
    <row r="18" spans="1:10">
      <c r="A18" s="1" t="s">
        <v>36</v>
      </c>
      <c r="B18" s="1" t="s">
        <v>35</v>
      </c>
      <c r="C18" s="1">
        <v>109</v>
      </c>
      <c r="D18" s="1" t="s">
        <v>37</v>
      </c>
      <c r="E18" s="2">
        <v>46152</v>
      </c>
      <c r="F18" s="1">
        <v>175</v>
      </c>
      <c r="G18" s="1">
        <v>2.4</v>
      </c>
      <c r="H18" s="1" t="str">
        <f>TEXT(Table1[[#This Row],[Date of Call]],"DDDD")</f>
        <v>Sunday</v>
      </c>
      <c r="I18" s="1" t="str" cm="1">
        <f t="array" ref="I18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18" s="1">
        <f>ROUND(Table1[[#This Row],[Satisfaction Rating]],0)</f>
        <v>2</v>
      </c>
    </row>
    <row r="19" spans="1:10">
      <c r="A19" s="1" t="s">
        <v>38</v>
      </c>
      <c r="B19" s="1" t="s">
        <v>26</v>
      </c>
      <c r="C19" s="1">
        <v>121</v>
      </c>
      <c r="D19" s="1" t="s">
        <v>17</v>
      </c>
      <c r="E19" s="2">
        <v>46152</v>
      </c>
      <c r="F19" s="1">
        <v>78</v>
      </c>
      <c r="G19" s="1">
        <v>4.3</v>
      </c>
      <c r="H19" s="1" t="str">
        <f>TEXT(Table1[[#This Row],[Date of Call]],"DDDD")</f>
        <v>Sunday</v>
      </c>
      <c r="I19" s="1" t="str" cm="1">
        <f t="array" ref="I19">_xlfn.IFS(Table1[[#This Row],[Duration]]&lt;=10,"Under 10 mins",Table1[[#This Row],[Duration]]&lt;=30,"10 to 30 mins",Table1[[#This Row],[Duration]]&lt;=60,"30 to 60 min",Table1[[#This Row],[Duration]]&lt;=120,"1to2 hours",TRUE,"More than 2 hours")</f>
        <v>More than 2 hours</v>
      </c>
      <c r="J19" s="1">
        <f>ROUND(Table1[[#This Row],[Satisfaction Rating]],0)</f>
        <v>4</v>
      </c>
    </row>
    <row r="20" spans="1:10">
      <c r="A20" s="1" t="s">
        <v>39</v>
      </c>
      <c r="B20" s="1" t="s">
        <v>40</v>
      </c>
      <c r="C20" s="1">
        <v>125</v>
      </c>
      <c r="D20" s="1" t="s">
        <v>13</v>
      </c>
      <c r="E20" s="2">
        <v>46033</v>
      </c>
      <c r="F20" s="1">
        <v>88</v>
      </c>
      <c r="G20" s="1">
        <v>2.5</v>
      </c>
      <c r="H20" s="1" t="str">
        <f>TEXT(Table1[[#This Row],[Date of Call]],"DDDD")</f>
        <v>Sunday</v>
      </c>
      <c r="I20" s="1" t="str" cm="1">
        <f t="array" ref="I20">_xlfn.IFS(Table1[[#This Row],[Duration]]&lt;=10,"Under 10 mins",Table1[[#This Row],[Duration]]&lt;=30,"10 to 30 mins",Table1[[#This Row],[Duration]]&lt;=60,"30 to 60 min",Table1[[#This Row],[Duration]]&lt;=120,"1to2 hours",TRUE,"More than 2 hours")</f>
        <v>More than 2 hours</v>
      </c>
      <c r="J20" s="1">
        <f>ROUND(Table1[[#This Row],[Satisfaction Rating]],0)</f>
        <v>3</v>
      </c>
    </row>
    <row r="21" spans="1:10">
      <c r="A21" s="1" t="s">
        <v>41</v>
      </c>
      <c r="B21" s="1" t="s">
        <v>42</v>
      </c>
      <c r="C21" s="1">
        <v>45</v>
      </c>
      <c r="D21" s="1" t="s">
        <v>22</v>
      </c>
      <c r="E21" s="2">
        <v>46033</v>
      </c>
      <c r="F21" s="1">
        <v>98</v>
      </c>
      <c r="G21" s="1">
        <v>3.1</v>
      </c>
      <c r="H21" s="1" t="str">
        <f>TEXT(Table1[[#This Row],[Date of Call]],"DDDD")</f>
        <v>Sunday</v>
      </c>
      <c r="I21" s="1" t="str" cm="1">
        <f t="array" ref="I21">_xlfn.IFS(Table1[[#This Row],[Duration]]&lt;=10,"Under 10 mins",Table1[[#This Row],[Duration]]&lt;=30,"10 to 30 mins",Table1[[#This Row],[Duration]]&lt;=60,"30 to 60 min",Table1[[#This Row],[Duration]]&lt;=120,"1to2 hours",TRUE,"More than 2 hours")</f>
        <v>30 to 60 min</v>
      </c>
      <c r="J21" s="1">
        <f>ROUND(Table1[[#This Row],[Satisfaction Rating]],0)</f>
        <v>3</v>
      </c>
    </row>
    <row r="22" spans="1:10">
      <c r="A22" s="1" t="s">
        <v>43</v>
      </c>
      <c r="B22" s="1" t="s">
        <v>44</v>
      </c>
      <c r="C22" s="1">
        <v>35</v>
      </c>
      <c r="D22" s="1" t="s">
        <v>22</v>
      </c>
      <c r="E22" s="2">
        <v>46033</v>
      </c>
      <c r="F22" s="1">
        <v>120</v>
      </c>
      <c r="G22" s="1">
        <v>3.9</v>
      </c>
      <c r="H22" s="1" t="str">
        <f>TEXT(Table1[[#This Row],[Date of Call]],"DDDD")</f>
        <v>Sunday</v>
      </c>
      <c r="I22" s="1" t="str" cm="1">
        <f t="array" ref="I22">_xlfn.IFS(Table1[[#This Row],[Duration]]&lt;=10,"Under 10 mins",Table1[[#This Row],[Duration]]&lt;=30,"10 to 30 mins",Table1[[#This Row],[Duration]]&lt;=60,"30 to 60 min",Table1[[#This Row],[Duration]]&lt;=120,"1to2 hours",TRUE,"More than 2 hours")</f>
        <v>30 to 60 min</v>
      </c>
      <c r="J22" s="1">
        <f>ROUND(Table1[[#This Row],[Satisfaction Rating]],0)</f>
        <v>4</v>
      </c>
    </row>
    <row r="23" spans="1:10">
      <c r="A23" s="1" t="s">
        <v>45</v>
      </c>
      <c r="B23" s="1" t="s">
        <v>21</v>
      </c>
      <c r="C23" s="1">
        <v>88</v>
      </c>
      <c r="D23" s="1" t="s">
        <v>13</v>
      </c>
      <c r="E23" s="2">
        <v>46092</v>
      </c>
      <c r="F23" s="1">
        <v>95</v>
      </c>
      <c r="G23" s="1">
        <v>2.2999999999999998</v>
      </c>
      <c r="H23" s="1" t="str">
        <f>TEXT(Table1[[#This Row],[Date of Call]],"DDDD")</f>
        <v>Wednesday</v>
      </c>
      <c r="I23" s="1" t="str" cm="1">
        <f t="array" ref="I23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23" s="1">
        <f>ROUND(Table1[[#This Row],[Satisfaction Rating]],0)</f>
        <v>2</v>
      </c>
    </row>
    <row r="24" spans="1:10">
      <c r="A24" s="1" t="s">
        <v>46</v>
      </c>
      <c r="B24" s="1" t="s">
        <v>47</v>
      </c>
      <c r="C24" s="1">
        <v>92</v>
      </c>
      <c r="D24" s="1" t="s">
        <v>27</v>
      </c>
      <c r="E24" s="2">
        <v>46092</v>
      </c>
      <c r="F24" s="1">
        <v>138</v>
      </c>
      <c r="G24" s="1">
        <v>3.2</v>
      </c>
      <c r="H24" s="1" t="str">
        <f>TEXT(Table1[[#This Row],[Date of Call]],"DDDD")</f>
        <v>Wednesday</v>
      </c>
      <c r="I24" s="1" t="str" cm="1">
        <f t="array" ref="I24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24" s="1">
        <f>ROUND(Table1[[#This Row],[Satisfaction Rating]],0)</f>
        <v>3</v>
      </c>
    </row>
    <row r="25" spans="1:10">
      <c r="A25" s="1" t="s">
        <v>48</v>
      </c>
      <c r="B25" s="1" t="s">
        <v>40</v>
      </c>
      <c r="C25" s="1">
        <v>142</v>
      </c>
      <c r="D25" s="1" t="s">
        <v>17</v>
      </c>
      <c r="E25" s="2">
        <v>46153</v>
      </c>
      <c r="F25" s="1">
        <v>190</v>
      </c>
      <c r="G25" s="1">
        <v>2.1</v>
      </c>
      <c r="H25" s="1" t="str">
        <f>TEXT(Table1[[#This Row],[Date of Call]],"DDDD")</f>
        <v>Monday</v>
      </c>
      <c r="I25" s="1" t="str" cm="1">
        <f t="array" ref="I25">_xlfn.IFS(Table1[[#This Row],[Duration]]&lt;=10,"Under 10 mins",Table1[[#This Row],[Duration]]&lt;=30,"10 to 30 mins",Table1[[#This Row],[Duration]]&lt;=60,"30 to 60 min",Table1[[#This Row],[Duration]]&lt;=120,"1to2 hours",TRUE,"More than 2 hours")</f>
        <v>More than 2 hours</v>
      </c>
      <c r="J25" s="1">
        <f>ROUND(Table1[[#This Row],[Satisfaction Rating]],0)</f>
        <v>2</v>
      </c>
    </row>
    <row r="26" spans="1:10">
      <c r="A26" s="1" t="s">
        <v>49</v>
      </c>
      <c r="B26" s="1" t="s">
        <v>50</v>
      </c>
      <c r="C26" s="1">
        <v>63</v>
      </c>
      <c r="D26" s="1" t="s">
        <v>22</v>
      </c>
      <c r="E26" s="2">
        <v>46153</v>
      </c>
      <c r="F26" s="1">
        <v>44</v>
      </c>
      <c r="G26" s="1">
        <v>4.5</v>
      </c>
      <c r="H26" s="1" t="str">
        <f>TEXT(Table1[[#This Row],[Date of Call]],"DDDD")</f>
        <v>Monday</v>
      </c>
      <c r="I26" s="1" t="str" cm="1">
        <f t="array" ref="I26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26" s="1">
        <f>ROUND(Table1[[#This Row],[Satisfaction Rating]],0)</f>
        <v>5</v>
      </c>
    </row>
    <row r="27" spans="1:10">
      <c r="A27" s="1" t="s">
        <v>51</v>
      </c>
      <c r="B27" s="1" t="s">
        <v>52</v>
      </c>
      <c r="C27" s="1">
        <v>69</v>
      </c>
      <c r="D27" s="1" t="s">
        <v>27</v>
      </c>
      <c r="E27" s="2">
        <v>46124</v>
      </c>
      <c r="F27" s="1">
        <v>174</v>
      </c>
      <c r="G27" s="1">
        <v>2.8</v>
      </c>
      <c r="H27" s="1" t="str">
        <f>TEXT(Table1[[#This Row],[Date of Call]],"DDDD")</f>
        <v>Sunday</v>
      </c>
      <c r="I27" s="1" t="str" cm="1">
        <f t="array" ref="I27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27" s="1">
        <f>ROUND(Table1[[#This Row],[Satisfaction Rating]],0)</f>
        <v>3</v>
      </c>
    </row>
    <row r="28" spans="1:10">
      <c r="A28" s="1" t="s">
        <v>53</v>
      </c>
      <c r="B28" s="1" t="s">
        <v>52</v>
      </c>
      <c r="C28" s="1">
        <v>76</v>
      </c>
      <c r="D28" s="1" t="s">
        <v>17</v>
      </c>
      <c r="E28" s="2">
        <v>46124</v>
      </c>
      <c r="F28" s="1">
        <v>43</v>
      </c>
      <c r="G28" s="1">
        <v>3.7</v>
      </c>
      <c r="H28" s="1" t="str">
        <f>TEXT(Table1[[#This Row],[Date of Call]],"DDDD")</f>
        <v>Sunday</v>
      </c>
      <c r="I28" s="1" t="str" cm="1">
        <f t="array" ref="I28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28" s="1">
        <f>ROUND(Table1[[#This Row],[Satisfaction Rating]],0)</f>
        <v>4</v>
      </c>
    </row>
    <row r="29" spans="1:10">
      <c r="A29" s="1" t="s">
        <v>54</v>
      </c>
      <c r="B29" s="1" t="s">
        <v>40</v>
      </c>
      <c r="C29" s="1">
        <v>136</v>
      </c>
      <c r="D29" s="1" t="s">
        <v>22</v>
      </c>
      <c r="E29" s="2">
        <v>46065</v>
      </c>
      <c r="F29" s="1">
        <v>77</v>
      </c>
      <c r="G29" s="1">
        <v>3.1</v>
      </c>
      <c r="H29" s="1" t="str">
        <f>TEXT(Table1[[#This Row],[Date of Call]],"DDDD")</f>
        <v>Thursday</v>
      </c>
      <c r="I29" s="1" t="str" cm="1">
        <f t="array" ref="I29">_xlfn.IFS(Table1[[#This Row],[Duration]]&lt;=10,"Under 10 mins",Table1[[#This Row],[Duration]]&lt;=30,"10 to 30 mins",Table1[[#This Row],[Duration]]&lt;=60,"30 to 60 min",Table1[[#This Row],[Duration]]&lt;=120,"1to2 hours",TRUE,"More than 2 hours")</f>
        <v>More than 2 hours</v>
      </c>
      <c r="J29" s="1">
        <f>ROUND(Table1[[#This Row],[Satisfaction Rating]],0)</f>
        <v>3</v>
      </c>
    </row>
    <row r="30" spans="1:10">
      <c r="A30" s="1" t="s">
        <v>55</v>
      </c>
      <c r="B30" s="1" t="s">
        <v>50</v>
      </c>
      <c r="C30" s="1">
        <v>86</v>
      </c>
      <c r="D30" s="1" t="s">
        <v>27</v>
      </c>
      <c r="E30" s="2">
        <v>46185</v>
      </c>
      <c r="F30" s="1">
        <v>103</v>
      </c>
      <c r="G30" s="1">
        <v>1.7</v>
      </c>
      <c r="H30" s="1" t="str">
        <f>TEXT(Table1[[#This Row],[Date of Call]],"DDDD")</f>
        <v>Friday</v>
      </c>
      <c r="I30" s="1" t="str" cm="1">
        <f t="array" ref="I30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30" s="1">
        <f>ROUND(Table1[[#This Row],[Satisfaction Rating]],0)</f>
        <v>2</v>
      </c>
    </row>
    <row r="31" spans="1:10">
      <c r="A31" s="1" t="s">
        <v>56</v>
      </c>
      <c r="B31" s="1" t="s">
        <v>57</v>
      </c>
      <c r="C31" s="1">
        <v>28</v>
      </c>
      <c r="D31" s="1" t="s">
        <v>37</v>
      </c>
      <c r="E31" s="2">
        <v>46185</v>
      </c>
      <c r="F31" s="1">
        <v>118</v>
      </c>
      <c r="G31" s="1">
        <v>4.3</v>
      </c>
      <c r="H31" s="1" t="str">
        <f>TEXT(Table1[[#This Row],[Date of Call]],"DDDD")</f>
        <v>Friday</v>
      </c>
      <c r="I31" s="1" t="str" cm="1">
        <f t="array" ref="I31">_xlfn.IFS(Table1[[#This Row],[Duration]]&lt;=10,"Under 10 mins",Table1[[#This Row],[Duration]]&lt;=30,"10 to 30 mins",Table1[[#This Row],[Duration]]&lt;=60,"30 to 60 min",Table1[[#This Row],[Duration]]&lt;=120,"1to2 hours",TRUE,"More than 2 hours")</f>
        <v>10 to 30 mins</v>
      </c>
      <c r="J31" s="1">
        <f>ROUND(Table1[[#This Row],[Satisfaction Rating]],0)</f>
        <v>4</v>
      </c>
    </row>
    <row r="32" spans="1:10">
      <c r="A32" s="1" t="s">
        <v>58</v>
      </c>
      <c r="B32" s="1" t="s">
        <v>59</v>
      </c>
      <c r="C32" s="1">
        <v>43</v>
      </c>
      <c r="D32" s="1" t="s">
        <v>37</v>
      </c>
      <c r="E32" s="2">
        <v>46093</v>
      </c>
      <c r="F32" s="1">
        <v>72</v>
      </c>
      <c r="G32" s="1">
        <v>1.9</v>
      </c>
      <c r="H32" s="1" t="str">
        <f>TEXT(Table1[[#This Row],[Date of Call]],"DDDD")</f>
        <v>Thursday</v>
      </c>
      <c r="I32" s="1" t="str" cm="1">
        <f t="array" ref="I32">_xlfn.IFS(Table1[[#This Row],[Duration]]&lt;=10,"Under 10 mins",Table1[[#This Row],[Duration]]&lt;=30,"10 to 30 mins",Table1[[#This Row],[Duration]]&lt;=60,"30 to 60 min",Table1[[#This Row],[Duration]]&lt;=120,"1to2 hours",TRUE,"More than 2 hours")</f>
        <v>30 to 60 min</v>
      </c>
      <c r="J32" s="1">
        <f>ROUND(Table1[[#This Row],[Satisfaction Rating]],0)</f>
        <v>2</v>
      </c>
    </row>
    <row r="33" spans="1:10">
      <c r="A33" s="1" t="s">
        <v>60</v>
      </c>
      <c r="B33" s="1" t="s">
        <v>15</v>
      </c>
      <c r="C33" s="1">
        <v>151</v>
      </c>
      <c r="D33" s="1" t="s">
        <v>13</v>
      </c>
      <c r="E33" s="2">
        <v>46093</v>
      </c>
      <c r="F33" s="1">
        <v>21</v>
      </c>
      <c r="G33" s="1">
        <v>4.9000000000000004</v>
      </c>
      <c r="H33" s="1" t="str">
        <f>TEXT(Table1[[#This Row],[Date of Call]],"DDDD")</f>
        <v>Thursday</v>
      </c>
      <c r="I33" s="1" t="str" cm="1">
        <f t="array" ref="I33">_xlfn.IFS(Table1[[#This Row],[Duration]]&lt;=10,"Under 10 mins",Table1[[#This Row],[Duration]]&lt;=30,"10 to 30 mins",Table1[[#This Row],[Duration]]&lt;=60,"30 to 60 min",Table1[[#This Row],[Duration]]&lt;=120,"1to2 hours",TRUE,"More than 2 hours")</f>
        <v>More than 2 hours</v>
      </c>
      <c r="J33" s="1">
        <f>ROUND(Table1[[#This Row],[Satisfaction Rating]],0)</f>
        <v>5</v>
      </c>
    </row>
    <row r="34" spans="1:10">
      <c r="A34" s="1" t="s">
        <v>61</v>
      </c>
      <c r="B34" s="1" t="s">
        <v>62</v>
      </c>
      <c r="C34" s="1">
        <v>99</v>
      </c>
      <c r="D34" s="1" t="s">
        <v>37</v>
      </c>
      <c r="E34" s="2">
        <v>46154</v>
      </c>
      <c r="F34" s="1">
        <v>70</v>
      </c>
      <c r="G34" s="1">
        <v>2.1</v>
      </c>
      <c r="H34" s="1" t="str">
        <f>TEXT(Table1[[#This Row],[Date of Call]],"DDDD")</f>
        <v>Tuesday</v>
      </c>
      <c r="I34" s="1" t="str" cm="1">
        <f t="array" ref="I34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34" s="1">
        <f>ROUND(Table1[[#This Row],[Satisfaction Rating]],0)</f>
        <v>2</v>
      </c>
    </row>
    <row r="35" spans="1:10">
      <c r="A35" s="1" t="s">
        <v>63</v>
      </c>
      <c r="B35" s="1" t="s">
        <v>19</v>
      </c>
      <c r="C35" s="1">
        <v>124</v>
      </c>
      <c r="D35" s="1" t="s">
        <v>22</v>
      </c>
      <c r="E35" s="2">
        <v>46125</v>
      </c>
      <c r="F35" s="1">
        <v>102</v>
      </c>
      <c r="G35" s="1">
        <v>1.9</v>
      </c>
      <c r="H35" s="1" t="str">
        <f>TEXT(Table1[[#This Row],[Date of Call]],"DDDD")</f>
        <v>Monday</v>
      </c>
      <c r="I35" s="1" t="str" cm="1">
        <f t="array" ref="I35">_xlfn.IFS(Table1[[#This Row],[Duration]]&lt;=10,"Under 10 mins",Table1[[#This Row],[Duration]]&lt;=30,"10 to 30 mins",Table1[[#This Row],[Duration]]&lt;=60,"30 to 60 min",Table1[[#This Row],[Duration]]&lt;=120,"1to2 hours",TRUE,"More than 2 hours")</f>
        <v>More than 2 hours</v>
      </c>
      <c r="J35" s="1">
        <f>ROUND(Table1[[#This Row],[Satisfaction Rating]],0)</f>
        <v>2</v>
      </c>
    </row>
    <row r="36" spans="1:10">
      <c r="A36" s="1" t="s">
        <v>64</v>
      </c>
      <c r="B36" s="1" t="s">
        <v>65</v>
      </c>
      <c r="C36" s="1">
        <v>138</v>
      </c>
      <c r="D36" s="1" t="s">
        <v>13</v>
      </c>
      <c r="E36" s="2">
        <v>46125</v>
      </c>
      <c r="F36" s="1">
        <v>25</v>
      </c>
      <c r="G36" s="1">
        <v>1.7</v>
      </c>
      <c r="H36" s="1" t="str">
        <f>TEXT(Table1[[#This Row],[Date of Call]],"DDDD")</f>
        <v>Monday</v>
      </c>
      <c r="I36" s="1" t="str" cm="1">
        <f t="array" ref="I36">_xlfn.IFS(Table1[[#This Row],[Duration]]&lt;=10,"Under 10 mins",Table1[[#This Row],[Duration]]&lt;=30,"10 to 30 mins",Table1[[#This Row],[Duration]]&lt;=60,"30 to 60 min",Table1[[#This Row],[Duration]]&lt;=120,"1to2 hours",TRUE,"More than 2 hours")</f>
        <v>More than 2 hours</v>
      </c>
      <c r="J36" s="1">
        <f>ROUND(Table1[[#This Row],[Satisfaction Rating]],0)</f>
        <v>2</v>
      </c>
    </row>
    <row r="37" spans="1:10">
      <c r="A37" s="1" t="s">
        <v>66</v>
      </c>
      <c r="B37" s="1" t="s">
        <v>67</v>
      </c>
      <c r="C37" s="1">
        <v>145</v>
      </c>
      <c r="D37" s="1" t="s">
        <v>27</v>
      </c>
      <c r="E37" s="2">
        <v>46066</v>
      </c>
      <c r="F37" s="1">
        <v>178</v>
      </c>
      <c r="G37" s="1">
        <v>1.3</v>
      </c>
      <c r="H37" s="1" t="str">
        <f>TEXT(Table1[[#This Row],[Date of Call]],"DDDD")</f>
        <v>Friday</v>
      </c>
      <c r="I37" s="1" t="str" cm="1">
        <f t="array" ref="I37">_xlfn.IFS(Table1[[#This Row],[Duration]]&lt;=10,"Under 10 mins",Table1[[#This Row],[Duration]]&lt;=30,"10 to 30 mins",Table1[[#This Row],[Duration]]&lt;=60,"30 to 60 min",Table1[[#This Row],[Duration]]&lt;=120,"1to2 hours",TRUE,"More than 2 hours")</f>
        <v>More than 2 hours</v>
      </c>
      <c r="J37" s="1">
        <f>ROUND(Table1[[#This Row],[Satisfaction Rating]],0)</f>
        <v>1</v>
      </c>
    </row>
    <row r="38" spans="1:10">
      <c r="A38" s="1" t="s">
        <v>68</v>
      </c>
      <c r="B38" s="1" t="s">
        <v>47</v>
      </c>
      <c r="C38" s="1">
        <v>147</v>
      </c>
      <c r="D38" s="1" t="s">
        <v>27</v>
      </c>
      <c r="E38" s="2">
        <v>46035</v>
      </c>
      <c r="F38" s="1">
        <v>152</v>
      </c>
      <c r="G38" s="1">
        <v>2</v>
      </c>
      <c r="H38" s="1" t="str">
        <f>TEXT(Table1[[#This Row],[Date of Call]],"DDDD")</f>
        <v>Tuesday</v>
      </c>
      <c r="I38" s="1" t="str" cm="1">
        <f t="array" ref="I38">_xlfn.IFS(Table1[[#This Row],[Duration]]&lt;=10,"Under 10 mins",Table1[[#This Row],[Duration]]&lt;=30,"10 to 30 mins",Table1[[#This Row],[Duration]]&lt;=60,"30 to 60 min",Table1[[#This Row],[Duration]]&lt;=120,"1to2 hours",TRUE,"More than 2 hours")</f>
        <v>More than 2 hours</v>
      </c>
      <c r="J38" s="1">
        <f>ROUND(Table1[[#This Row],[Satisfaction Rating]],0)</f>
        <v>2</v>
      </c>
    </row>
    <row r="39" spans="1:10">
      <c r="A39" s="1" t="s">
        <v>69</v>
      </c>
      <c r="B39" s="1" t="s">
        <v>44</v>
      </c>
      <c r="C39" s="1">
        <v>112</v>
      </c>
      <c r="D39" s="1" t="s">
        <v>17</v>
      </c>
      <c r="E39" s="2">
        <v>46186</v>
      </c>
      <c r="F39" s="1">
        <v>186</v>
      </c>
      <c r="G39" s="1">
        <v>3.2</v>
      </c>
      <c r="H39" s="1" t="str">
        <f>TEXT(Table1[[#This Row],[Date of Call]],"DDDD")</f>
        <v>Saturday</v>
      </c>
      <c r="I39" s="1" t="str" cm="1">
        <f t="array" ref="I39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39" s="1">
        <f>ROUND(Table1[[#This Row],[Satisfaction Rating]],0)</f>
        <v>3</v>
      </c>
    </row>
    <row r="40" spans="1:10">
      <c r="A40" s="1" t="s">
        <v>70</v>
      </c>
      <c r="B40" s="1" t="s">
        <v>71</v>
      </c>
      <c r="C40" s="1">
        <v>175</v>
      </c>
      <c r="D40" s="1" t="s">
        <v>17</v>
      </c>
      <c r="E40" s="2">
        <v>46186</v>
      </c>
      <c r="F40" s="1">
        <v>139</v>
      </c>
      <c r="G40" s="1">
        <v>3.4</v>
      </c>
      <c r="H40" s="1" t="str">
        <f>TEXT(Table1[[#This Row],[Date of Call]],"DDDD")</f>
        <v>Saturday</v>
      </c>
      <c r="I40" s="1" t="str" cm="1">
        <f t="array" ref="I40">_xlfn.IFS(Table1[[#This Row],[Duration]]&lt;=10,"Under 10 mins",Table1[[#This Row],[Duration]]&lt;=30,"10 to 30 mins",Table1[[#This Row],[Duration]]&lt;=60,"30 to 60 min",Table1[[#This Row],[Duration]]&lt;=120,"1to2 hours",TRUE,"More than 2 hours")</f>
        <v>More than 2 hours</v>
      </c>
      <c r="J40" s="1">
        <f>ROUND(Table1[[#This Row],[Satisfaction Rating]],0)</f>
        <v>3</v>
      </c>
    </row>
    <row r="41" spans="1:10">
      <c r="A41" s="1" t="s">
        <v>72</v>
      </c>
      <c r="B41" s="1" t="s">
        <v>73</v>
      </c>
      <c r="C41" s="1">
        <v>89</v>
      </c>
      <c r="D41" s="1" t="s">
        <v>13</v>
      </c>
      <c r="E41" s="2">
        <v>46186</v>
      </c>
      <c r="F41" s="1">
        <v>135</v>
      </c>
      <c r="G41" s="1">
        <v>1.4</v>
      </c>
      <c r="H41" s="1" t="str">
        <f>TEXT(Table1[[#This Row],[Date of Call]],"DDDD")</f>
        <v>Saturday</v>
      </c>
      <c r="I41" s="1" t="str" cm="1">
        <f t="array" ref="I41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41" s="1">
        <f>ROUND(Table1[[#This Row],[Satisfaction Rating]],0)</f>
        <v>1</v>
      </c>
    </row>
    <row r="42" spans="1:10">
      <c r="A42" s="1" t="s">
        <v>74</v>
      </c>
      <c r="B42" s="1" t="s">
        <v>52</v>
      </c>
      <c r="C42" s="1">
        <v>86</v>
      </c>
      <c r="D42" s="1" t="s">
        <v>37</v>
      </c>
      <c r="E42" s="2">
        <v>46094</v>
      </c>
      <c r="F42" s="1">
        <v>99</v>
      </c>
      <c r="G42" s="1">
        <v>3.6</v>
      </c>
      <c r="H42" s="1" t="str">
        <f>TEXT(Table1[[#This Row],[Date of Call]],"DDDD")</f>
        <v>Friday</v>
      </c>
      <c r="I42" s="1" t="str" cm="1">
        <f t="array" ref="I42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42" s="1">
        <f>ROUND(Table1[[#This Row],[Satisfaction Rating]],0)</f>
        <v>4</v>
      </c>
    </row>
    <row r="43" spans="1:10">
      <c r="A43" s="1" t="s">
        <v>75</v>
      </c>
      <c r="B43" s="1" t="s">
        <v>26</v>
      </c>
      <c r="C43" s="1">
        <v>97</v>
      </c>
      <c r="D43" s="1" t="s">
        <v>37</v>
      </c>
      <c r="E43" s="2">
        <v>46126</v>
      </c>
      <c r="F43" s="1">
        <v>141</v>
      </c>
      <c r="G43" s="1">
        <v>4.3</v>
      </c>
      <c r="H43" s="1" t="str">
        <f>TEXT(Table1[[#This Row],[Date of Call]],"DDDD")</f>
        <v>Tuesday</v>
      </c>
      <c r="I43" s="1" t="str" cm="1">
        <f t="array" ref="I43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43" s="1">
        <f>ROUND(Table1[[#This Row],[Satisfaction Rating]],0)</f>
        <v>4</v>
      </c>
    </row>
    <row r="44" spans="1:10">
      <c r="A44" s="1" t="s">
        <v>76</v>
      </c>
      <c r="B44" s="1" t="s">
        <v>21</v>
      </c>
      <c r="C44" s="1">
        <v>55</v>
      </c>
      <c r="D44" s="1" t="s">
        <v>13</v>
      </c>
      <c r="E44" s="2">
        <v>46067</v>
      </c>
      <c r="F44" s="1">
        <v>151</v>
      </c>
      <c r="G44" s="1">
        <v>1.3</v>
      </c>
      <c r="H44" s="1" t="str">
        <f>TEXT(Table1[[#This Row],[Date of Call]],"DDDD")</f>
        <v>Saturday</v>
      </c>
      <c r="I44" s="1" t="str" cm="1">
        <f t="array" ref="I44">_xlfn.IFS(Table1[[#This Row],[Duration]]&lt;=10,"Under 10 mins",Table1[[#This Row],[Duration]]&lt;=30,"10 to 30 mins",Table1[[#This Row],[Duration]]&lt;=60,"30 to 60 min",Table1[[#This Row],[Duration]]&lt;=120,"1to2 hours",TRUE,"More than 2 hours")</f>
        <v>30 to 60 min</v>
      </c>
      <c r="J44" s="1">
        <f>ROUND(Table1[[#This Row],[Satisfaction Rating]],0)</f>
        <v>1</v>
      </c>
    </row>
    <row r="45" spans="1:10">
      <c r="A45" s="1" t="s">
        <v>77</v>
      </c>
      <c r="B45" s="1" t="s">
        <v>35</v>
      </c>
      <c r="C45" s="1">
        <v>61</v>
      </c>
      <c r="D45" s="1" t="s">
        <v>13</v>
      </c>
      <c r="E45" s="2">
        <v>46067</v>
      </c>
      <c r="F45" s="1">
        <v>30</v>
      </c>
      <c r="G45" s="1">
        <v>3.4</v>
      </c>
      <c r="H45" s="1" t="str">
        <f>TEXT(Table1[[#This Row],[Date of Call]],"DDDD")</f>
        <v>Saturday</v>
      </c>
      <c r="I45" s="1" t="str" cm="1">
        <f t="array" ref="I45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45" s="1">
        <f>ROUND(Table1[[#This Row],[Satisfaction Rating]],0)</f>
        <v>3</v>
      </c>
    </row>
    <row r="46" spans="1:10">
      <c r="A46" s="1" t="s">
        <v>78</v>
      </c>
      <c r="B46" s="1" t="s">
        <v>65</v>
      </c>
      <c r="C46" s="1">
        <v>19</v>
      </c>
      <c r="D46" s="1" t="s">
        <v>22</v>
      </c>
      <c r="E46" s="2">
        <v>46036</v>
      </c>
      <c r="F46" s="1">
        <v>99</v>
      </c>
      <c r="G46" s="1">
        <v>1.9</v>
      </c>
      <c r="H46" s="1" t="str">
        <f>TEXT(Table1[[#This Row],[Date of Call]],"DDDD")</f>
        <v>Wednesday</v>
      </c>
      <c r="I46" s="1" t="str" cm="1">
        <f t="array" ref="I46">_xlfn.IFS(Table1[[#This Row],[Duration]]&lt;=10,"Under 10 mins",Table1[[#This Row],[Duration]]&lt;=30,"10 to 30 mins",Table1[[#This Row],[Duration]]&lt;=60,"30 to 60 min",Table1[[#This Row],[Duration]]&lt;=120,"1to2 hours",TRUE,"More than 2 hours")</f>
        <v>10 to 30 mins</v>
      </c>
      <c r="J46" s="1">
        <f>ROUND(Table1[[#This Row],[Satisfaction Rating]],0)</f>
        <v>2</v>
      </c>
    </row>
    <row r="47" spans="1:10">
      <c r="A47" s="1" t="s">
        <v>79</v>
      </c>
      <c r="B47" s="1" t="s">
        <v>80</v>
      </c>
      <c r="C47" s="1">
        <v>74</v>
      </c>
      <c r="D47" s="1" t="s">
        <v>17</v>
      </c>
      <c r="E47" s="2">
        <v>46095</v>
      </c>
      <c r="F47" s="1">
        <v>189</v>
      </c>
      <c r="G47" s="1">
        <v>4.4000000000000004</v>
      </c>
      <c r="H47" s="1" t="str">
        <f>TEXT(Table1[[#This Row],[Date of Call]],"DDDD")</f>
        <v>Saturday</v>
      </c>
      <c r="I47" s="1" t="str" cm="1">
        <f t="array" ref="I47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47" s="1">
        <f>ROUND(Table1[[#This Row],[Satisfaction Rating]],0)</f>
        <v>4</v>
      </c>
    </row>
    <row r="48" spans="1:10">
      <c r="A48" s="1" t="s">
        <v>81</v>
      </c>
      <c r="B48" s="1" t="s">
        <v>71</v>
      </c>
      <c r="C48" s="1">
        <v>105</v>
      </c>
      <c r="D48" s="1" t="s">
        <v>22</v>
      </c>
      <c r="E48" s="2">
        <v>46127</v>
      </c>
      <c r="F48" s="1">
        <v>168</v>
      </c>
      <c r="G48" s="1">
        <v>4</v>
      </c>
      <c r="H48" s="1" t="str">
        <f>TEXT(Table1[[#This Row],[Date of Call]],"DDDD")</f>
        <v>Wednesday</v>
      </c>
      <c r="I48" s="1" t="str" cm="1">
        <f t="array" ref="I48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48" s="1">
        <f>ROUND(Table1[[#This Row],[Satisfaction Rating]],0)</f>
        <v>4</v>
      </c>
    </row>
    <row r="49" spans="1:10">
      <c r="A49" s="1" t="s">
        <v>82</v>
      </c>
      <c r="B49" s="1" t="s">
        <v>67</v>
      </c>
      <c r="C49" s="1">
        <v>36</v>
      </c>
      <c r="D49" s="1" t="s">
        <v>13</v>
      </c>
      <c r="E49" s="2">
        <v>46127</v>
      </c>
      <c r="F49" s="1">
        <v>135</v>
      </c>
      <c r="G49" s="1">
        <v>3.2</v>
      </c>
      <c r="H49" s="1" t="str">
        <f>TEXT(Table1[[#This Row],[Date of Call]],"DDDD")</f>
        <v>Wednesday</v>
      </c>
      <c r="I49" s="1" t="str" cm="1">
        <f t="array" ref="I49">_xlfn.IFS(Table1[[#This Row],[Duration]]&lt;=10,"Under 10 mins",Table1[[#This Row],[Duration]]&lt;=30,"10 to 30 mins",Table1[[#This Row],[Duration]]&lt;=60,"30 to 60 min",Table1[[#This Row],[Duration]]&lt;=120,"1to2 hours",TRUE,"More than 2 hours")</f>
        <v>30 to 60 min</v>
      </c>
      <c r="J49" s="1">
        <f>ROUND(Table1[[#This Row],[Satisfaction Rating]],0)</f>
        <v>3</v>
      </c>
    </row>
    <row r="50" spans="1:10">
      <c r="A50" s="1" t="s">
        <v>83</v>
      </c>
      <c r="B50" s="1" t="s">
        <v>44</v>
      </c>
      <c r="C50" s="1">
        <v>18</v>
      </c>
      <c r="D50" s="1" t="s">
        <v>13</v>
      </c>
      <c r="E50" s="2">
        <v>46127</v>
      </c>
      <c r="F50" s="1">
        <v>177</v>
      </c>
      <c r="G50" s="1">
        <v>4.9000000000000004</v>
      </c>
      <c r="H50" s="1" t="str">
        <f>TEXT(Table1[[#This Row],[Date of Call]],"DDDD")</f>
        <v>Wednesday</v>
      </c>
      <c r="I50" s="1" t="str" cm="1">
        <f t="array" ref="I50">_xlfn.IFS(Table1[[#This Row],[Duration]]&lt;=10,"Under 10 mins",Table1[[#This Row],[Duration]]&lt;=30,"10 to 30 mins",Table1[[#This Row],[Duration]]&lt;=60,"30 to 60 min",Table1[[#This Row],[Duration]]&lt;=120,"1to2 hours",TRUE,"More than 2 hours")</f>
        <v>10 to 30 mins</v>
      </c>
      <c r="J50" s="1">
        <f>ROUND(Table1[[#This Row],[Satisfaction Rating]],0)</f>
        <v>5</v>
      </c>
    </row>
    <row r="51" spans="1:10">
      <c r="A51" s="1" t="s">
        <v>84</v>
      </c>
      <c r="B51" s="1" t="s">
        <v>57</v>
      </c>
      <c r="C51" s="1">
        <v>75</v>
      </c>
      <c r="D51" s="1" t="s">
        <v>13</v>
      </c>
      <c r="E51" s="2">
        <v>46068</v>
      </c>
      <c r="F51" s="1">
        <v>115</v>
      </c>
      <c r="G51" s="1">
        <v>1.1000000000000001</v>
      </c>
      <c r="H51" s="1" t="str">
        <f>TEXT(Table1[[#This Row],[Date of Call]],"DDDD")</f>
        <v>Sunday</v>
      </c>
      <c r="I51" s="1" t="str" cm="1">
        <f t="array" ref="I51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51" s="1">
        <f>ROUND(Table1[[#This Row],[Satisfaction Rating]],0)</f>
        <v>1</v>
      </c>
    </row>
    <row r="52" spans="1:10">
      <c r="A52" s="1" t="s">
        <v>85</v>
      </c>
      <c r="B52" s="1" t="s">
        <v>86</v>
      </c>
      <c r="C52" s="1">
        <v>93</v>
      </c>
      <c r="D52" s="1" t="s">
        <v>13</v>
      </c>
      <c r="E52" s="2">
        <v>46037</v>
      </c>
      <c r="F52" s="1">
        <v>71</v>
      </c>
      <c r="G52" s="1">
        <v>4.5</v>
      </c>
      <c r="H52" s="1" t="str">
        <f>TEXT(Table1[[#This Row],[Date of Call]],"DDDD")</f>
        <v>Thursday</v>
      </c>
      <c r="I52" s="1" t="str" cm="1">
        <f t="array" ref="I52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52" s="1">
        <f>ROUND(Table1[[#This Row],[Satisfaction Rating]],0)</f>
        <v>5</v>
      </c>
    </row>
    <row r="53" spans="1:10">
      <c r="A53" s="1" t="s">
        <v>87</v>
      </c>
      <c r="B53" s="1" t="s">
        <v>88</v>
      </c>
      <c r="C53" s="1">
        <v>15</v>
      </c>
      <c r="D53" s="1" t="s">
        <v>17</v>
      </c>
      <c r="E53" s="2">
        <v>46096</v>
      </c>
      <c r="F53" s="1">
        <v>63</v>
      </c>
      <c r="G53" s="1">
        <v>2.7</v>
      </c>
      <c r="H53" s="1" t="str">
        <f>TEXT(Table1[[#This Row],[Date of Call]],"DDDD")</f>
        <v>Sunday</v>
      </c>
      <c r="I53" s="1" t="str" cm="1">
        <f t="array" ref="I53">_xlfn.IFS(Table1[[#This Row],[Duration]]&lt;=10,"Under 10 mins",Table1[[#This Row],[Duration]]&lt;=30,"10 to 30 mins",Table1[[#This Row],[Duration]]&lt;=60,"30 to 60 min",Table1[[#This Row],[Duration]]&lt;=120,"1to2 hours",TRUE,"More than 2 hours")</f>
        <v>10 to 30 mins</v>
      </c>
      <c r="J53" s="1">
        <f>ROUND(Table1[[#This Row],[Satisfaction Rating]],0)</f>
        <v>3</v>
      </c>
    </row>
    <row r="54" spans="1:10">
      <c r="A54" s="1" t="s">
        <v>89</v>
      </c>
      <c r="B54" s="1" t="s">
        <v>24</v>
      </c>
      <c r="C54" s="1">
        <v>167</v>
      </c>
      <c r="D54" s="1" t="s">
        <v>22</v>
      </c>
      <c r="E54" s="2">
        <v>46096</v>
      </c>
      <c r="F54" s="1">
        <v>122</v>
      </c>
      <c r="G54" s="1">
        <v>1.5</v>
      </c>
      <c r="H54" s="1" t="str">
        <f>TEXT(Table1[[#This Row],[Date of Call]],"DDDD")</f>
        <v>Sunday</v>
      </c>
      <c r="I54" s="1" t="str" cm="1">
        <f t="array" ref="I54">_xlfn.IFS(Table1[[#This Row],[Duration]]&lt;=10,"Under 10 mins",Table1[[#This Row],[Duration]]&lt;=30,"10 to 30 mins",Table1[[#This Row],[Duration]]&lt;=60,"30 to 60 min",Table1[[#This Row],[Duration]]&lt;=120,"1to2 hours",TRUE,"More than 2 hours")</f>
        <v>More than 2 hours</v>
      </c>
      <c r="J54" s="1">
        <f>ROUND(Table1[[#This Row],[Satisfaction Rating]],0)</f>
        <v>2</v>
      </c>
    </row>
    <row r="55" spans="1:10">
      <c r="A55" s="1" t="s">
        <v>90</v>
      </c>
      <c r="B55" s="1" t="s">
        <v>15</v>
      </c>
      <c r="C55" s="1">
        <v>153</v>
      </c>
      <c r="D55" s="1" t="s">
        <v>27</v>
      </c>
      <c r="E55" s="2">
        <v>46128</v>
      </c>
      <c r="F55" s="1">
        <v>23</v>
      </c>
      <c r="G55" s="1">
        <v>1.8</v>
      </c>
      <c r="H55" s="1" t="str">
        <f>TEXT(Table1[[#This Row],[Date of Call]],"DDDD")</f>
        <v>Thursday</v>
      </c>
      <c r="I55" s="1" t="str" cm="1">
        <f t="array" ref="I55">_xlfn.IFS(Table1[[#This Row],[Duration]]&lt;=10,"Under 10 mins",Table1[[#This Row],[Duration]]&lt;=30,"10 to 30 mins",Table1[[#This Row],[Duration]]&lt;=60,"30 to 60 min",Table1[[#This Row],[Duration]]&lt;=120,"1to2 hours",TRUE,"More than 2 hours")</f>
        <v>More than 2 hours</v>
      </c>
      <c r="J55" s="1">
        <f>ROUND(Table1[[#This Row],[Satisfaction Rating]],0)</f>
        <v>2</v>
      </c>
    </row>
    <row r="56" spans="1:10">
      <c r="A56" s="1" t="s">
        <v>91</v>
      </c>
      <c r="B56" s="1" t="s">
        <v>80</v>
      </c>
      <c r="C56" s="1">
        <v>163</v>
      </c>
      <c r="D56" s="1" t="s">
        <v>22</v>
      </c>
      <c r="E56" s="2">
        <v>46038</v>
      </c>
      <c r="F56" s="1">
        <v>90</v>
      </c>
      <c r="G56" s="1">
        <v>1.2</v>
      </c>
      <c r="H56" s="1" t="str">
        <f>TEXT(Table1[[#This Row],[Date of Call]],"DDDD")</f>
        <v>Friday</v>
      </c>
      <c r="I56" s="1" t="str" cm="1">
        <f t="array" ref="I56">_xlfn.IFS(Table1[[#This Row],[Duration]]&lt;=10,"Under 10 mins",Table1[[#This Row],[Duration]]&lt;=30,"10 to 30 mins",Table1[[#This Row],[Duration]]&lt;=60,"30 to 60 min",Table1[[#This Row],[Duration]]&lt;=120,"1to2 hours",TRUE,"More than 2 hours")</f>
        <v>More than 2 hours</v>
      </c>
      <c r="J56" s="1">
        <f>ROUND(Table1[[#This Row],[Satisfaction Rating]],0)</f>
        <v>1</v>
      </c>
    </row>
    <row r="57" spans="1:10">
      <c r="A57" s="1" t="s">
        <v>92</v>
      </c>
      <c r="B57" s="1" t="s">
        <v>19</v>
      </c>
      <c r="C57" s="1">
        <v>137</v>
      </c>
      <c r="D57" s="1" t="s">
        <v>22</v>
      </c>
      <c r="E57" s="2">
        <v>46158</v>
      </c>
      <c r="F57" s="1">
        <v>50</v>
      </c>
      <c r="G57" s="1">
        <v>1.2</v>
      </c>
      <c r="H57" s="1" t="str">
        <f>TEXT(Table1[[#This Row],[Date of Call]],"DDDD")</f>
        <v>Saturday</v>
      </c>
      <c r="I57" s="1" t="str" cm="1">
        <f t="array" ref="I57">_xlfn.IFS(Table1[[#This Row],[Duration]]&lt;=10,"Under 10 mins",Table1[[#This Row],[Duration]]&lt;=30,"10 to 30 mins",Table1[[#This Row],[Duration]]&lt;=60,"30 to 60 min",Table1[[#This Row],[Duration]]&lt;=120,"1to2 hours",TRUE,"More than 2 hours")</f>
        <v>More than 2 hours</v>
      </c>
      <c r="J57" s="1">
        <f>ROUND(Table1[[#This Row],[Satisfaction Rating]],0)</f>
        <v>1</v>
      </c>
    </row>
    <row r="58" spans="1:10">
      <c r="A58" s="1" t="s">
        <v>93</v>
      </c>
      <c r="B58" s="1" t="s">
        <v>40</v>
      </c>
      <c r="C58" s="1">
        <v>69</v>
      </c>
      <c r="D58" s="1" t="s">
        <v>37</v>
      </c>
      <c r="E58" s="2">
        <v>46129</v>
      </c>
      <c r="F58" s="1">
        <v>114</v>
      </c>
      <c r="G58" s="1">
        <v>2.2999999999999998</v>
      </c>
      <c r="H58" s="1" t="str">
        <f>TEXT(Table1[[#This Row],[Date of Call]],"DDDD")</f>
        <v>Friday</v>
      </c>
      <c r="I58" s="1" t="str" cm="1">
        <f t="array" ref="I58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58" s="1">
        <f>ROUND(Table1[[#This Row],[Satisfaction Rating]],0)</f>
        <v>2</v>
      </c>
    </row>
    <row r="59" spans="1:10">
      <c r="A59" s="1" t="s">
        <v>94</v>
      </c>
      <c r="B59" s="1" t="s">
        <v>42</v>
      </c>
      <c r="C59" s="1">
        <v>177</v>
      </c>
      <c r="D59" s="1" t="s">
        <v>13</v>
      </c>
      <c r="E59" s="2">
        <v>46159</v>
      </c>
      <c r="F59" s="1">
        <v>196</v>
      </c>
      <c r="G59" s="1">
        <v>2</v>
      </c>
      <c r="H59" s="1" t="str">
        <f>TEXT(Table1[[#This Row],[Date of Call]],"DDDD")</f>
        <v>Sunday</v>
      </c>
      <c r="I59" s="1" t="str" cm="1">
        <f t="array" ref="I59">_xlfn.IFS(Table1[[#This Row],[Duration]]&lt;=10,"Under 10 mins",Table1[[#This Row],[Duration]]&lt;=30,"10 to 30 mins",Table1[[#This Row],[Duration]]&lt;=60,"30 to 60 min",Table1[[#This Row],[Duration]]&lt;=120,"1to2 hours",TRUE,"More than 2 hours")</f>
        <v>More than 2 hours</v>
      </c>
      <c r="J59" s="1">
        <f>ROUND(Table1[[#This Row],[Satisfaction Rating]],0)</f>
        <v>2</v>
      </c>
    </row>
    <row r="60" spans="1:10">
      <c r="A60" s="1" t="s">
        <v>95</v>
      </c>
      <c r="B60" s="1" t="s">
        <v>73</v>
      </c>
      <c r="C60" s="1">
        <v>65</v>
      </c>
      <c r="D60" s="1" t="s">
        <v>22</v>
      </c>
      <c r="E60" s="2">
        <v>46130</v>
      </c>
      <c r="F60" s="1">
        <v>66</v>
      </c>
      <c r="G60" s="1">
        <v>2.8</v>
      </c>
      <c r="H60" s="1" t="str">
        <f>TEXT(Table1[[#This Row],[Date of Call]],"DDDD")</f>
        <v>Saturday</v>
      </c>
      <c r="I60" s="1" t="str" cm="1">
        <f t="array" ref="I60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60" s="1">
        <f>ROUND(Table1[[#This Row],[Satisfaction Rating]],0)</f>
        <v>3</v>
      </c>
    </row>
    <row r="61" spans="1:10">
      <c r="A61" s="1" t="s">
        <v>96</v>
      </c>
      <c r="B61" s="1" t="s">
        <v>33</v>
      </c>
      <c r="C61" s="1">
        <v>91</v>
      </c>
      <c r="D61" s="1" t="s">
        <v>27</v>
      </c>
      <c r="E61" s="2">
        <v>46130</v>
      </c>
      <c r="F61" s="1">
        <v>147</v>
      </c>
      <c r="G61" s="1">
        <v>4</v>
      </c>
      <c r="H61" s="1" t="str">
        <f>TEXT(Table1[[#This Row],[Date of Call]],"DDDD")</f>
        <v>Saturday</v>
      </c>
      <c r="I61" s="1" t="str" cm="1">
        <f t="array" ref="I61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61" s="1">
        <f>ROUND(Table1[[#This Row],[Satisfaction Rating]],0)</f>
        <v>4</v>
      </c>
    </row>
    <row r="62" spans="1:10">
      <c r="A62" s="1" t="s">
        <v>97</v>
      </c>
      <c r="B62" s="1" t="s">
        <v>86</v>
      </c>
      <c r="C62" s="1">
        <v>112</v>
      </c>
      <c r="D62" s="1" t="s">
        <v>17</v>
      </c>
      <c r="E62" s="2">
        <v>46130</v>
      </c>
      <c r="F62" s="1">
        <v>74</v>
      </c>
      <c r="G62" s="1">
        <v>4.3</v>
      </c>
      <c r="H62" s="1" t="str">
        <f>TEXT(Table1[[#This Row],[Date of Call]],"DDDD")</f>
        <v>Saturday</v>
      </c>
      <c r="I62" s="1" t="str" cm="1">
        <f t="array" ref="I62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62" s="1">
        <f>ROUND(Table1[[#This Row],[Satisfaction Rating]],0)</f>
        <v>4</v>
      </c>
    </row>
    <row r="63" spans="1:10">
      <c r="A63" s="1" t="s">
        <v>98</v>
      </c>
      <c r="B63" s="1" t="s">
        <v>71</v>
      </c>
      <c r="C63" s="1">
        <v>113</v>
      </c>
      <c r="D63" s="1" t="s">
        <v>22</v>
      </c>
      <c r="E63" s="2">
        <v>46071</v>
      </c>
      <c r="F63" s="1">
        <v>75</v>
      </c>
      <c r="G63" s="1">
        <v>1.2</v>
      </c>
      <c r="H63" s="1" t="str">
        <f>TEXT(Table1[[#This Row],[Date of Call]],"DDDD")</f>
        <v>Wednesday</v>
      </c>
      <c r="I63" s="1" t="str" cm="1">
        <f t="array" ref="I63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63" s="1">
        <f>ROUND(Table1[[#This Row],[Satisfaction Rating]],0)</f>
        <v>1</v>
      </c>
    </row>
    <row r="64" spans="1:10">
      <c r="A64" s="1" t="s">
        <v>99</v>
      </c>
      <c r="B64" s="1" t="s">
        <v>21</v>
      </c>
      <c r="C64" s="1">
        <v>36</v>
      </c>
      <c r="D64" s="1" t="s">
        <v>27</v>
      </c>
      <c r="E64" s="2">
        <v>46040</v>
      </c>
      <c r="F64" s="1">
        <v>146</v>
      </c>
      <c r="G64" s="1">
        <v>4.0999999999999996</v>
      </c>
      <c r="H64" s="1" t="str">
        <f>TEXT(Table1[[#This Row],[Date of Call]],"DDDD")</f>
        <v>Sunday</v>
      </c>
      <c r="I64" s="1" t="str" cm="1">
        <f t="array" ref="I64">_xlfn.IFS(Table1[[#This Row],[Duration]]&lt;=10,"Under 10 mins",Table1[[#This Row],[Duration]]&lt;=30,"10 to 30 mins",Table1[[#This Row],[Duration]]&lt;=60,"30 to 60 min",Table1[[#This Row],[Duration]]&lt;=120,"1to2 hours",TRUE,"More than 2 hours")</f>
        <v>30 to 60 min</v>
      </c>
      <c r="J64" s="1">
        <f>ROUND(Table1[[#This Row],[Satisfaction Rating]],0)</f>
        <v>4</v>
      </c>
    </row>
    <row r="65" spans="1:10">
      <c r="A65" s="1" t="s">
        <v>100</v>
      </c>
      <c r="B65" s="1" t="s">
        <v>101</v>
      </c>
      <c r="C65" s="1">
        <v>35</v>
      </c>
      <c r="D65" s="1" t="s">
        <v>13</v>
      </c>
      <c r="E65" s="2">
        <v>46040</v>
      </c>
      <c r="F65" s="1">
        <v>162</v>
      </c>
      <c r="G65" s="1">
        <v>1.3</v>
      </c>
      <c r="H65" s="1" t="str">
        <f>TEXT(Table1[[#This Row],[Date of Call]],"DDDD")</f>
        <v>Sunday</v>
      </c>
      <c r="I65" s="1" t="str" cm="1">
        <f t="array" ref="I65">_xlfn.IFS(Table1[[#This Row],[Duration]]&lt;=10,"Under 10 mins",Table1[[#This Row],[Duration]]&lt;=30,"10 to 30 mins",Table1[[#This Row],[Duration]]&lt;=60,"30 to 60 min",Table1[[#This Row],[Duration]]&lt;=120,"1to2 hours",TRUE,"More than 2 hours")</f>
        <v>30 to 60 min</v>
      </c>
      <c r="J65" s="1">
        <f>ROUND(Table1[[#This Row],[Satisfaction Rating]],0)</f>
        <v>1</v>
      </c>
    </row>
    <row r="66" spans="1:10">
      <c r="A66" s="1" t="s">
        <v>102</v>
      </c>
      <c r="B66" s="1" t="s">
        <v>67</v>
      </c>
      <c r="C66" s="1">
        <v>39</v>
      </c>
      <c r="D66" s="1" t="s">
        <v>37</v>
      </c>
      <c r="E66" s="2">
        <v>46191</v>
      </c>
      <c r="F66" s="1">
        <v>120</v>
      </c>
      <c r="G66" s="1">
        <v>2.4</v>
      </c>
      <c r="H66" s="1" t="str">
        <f>TEXT(Table1[[#This Row],[Date of Call]],"DDDD")</f>
        <v>Thursday</v>
      </c>
      <c r="I66" s="1" t="str" cm="1">
        <f t="array" ref="I66">_xlfn.IFS(Table1[[#This Row],[Duration]]&lt;=10,"Under 10 mins",Table1[[#This Row],[Duration]]&lt;=30,"10 to 30 mins",Table1[[#This Row],[Duration]]&lt;=60,"30 to 60 min",Table1[[#This Row],[Duration]]&lt;=120,"1to2 hours",TRUE,"More than 2 hours")</f>
        <v>30 to 60 min</v>
      </c>
      <c r="J66" s="1">
        <f>ROUND(Table1[[#This Row],[Satisfaction Rating]],0)</f>
        <v>2</v>
      </c>
    </row>
    <row r="67" spans="1:10">
      <c r="A67" s="1" t="s">
        <v>103</v>
      </c>
      <c r="B67" s="1" t="s">
        <v>44</v>
      </c>
      <c r="C67" s="1">
        <v>103</v>
      </c>
      <c r="D67" s="1" t="s">
        <v>22</v>
      </c>
      <c r="E67" s="2">
        <v>46099</v>
      </c>
      <c r="F67" s="1">
        <v>173</v>
      </c>
      <c r="G67" s="1">
        <v>4.8</v>
      </c>
      <c r="H67" s="1" t="str">
        <f>TEXT(Table1[[#This Row],[Date of Call]],"DDDD")</f>
        <v>Wednesday</v>
      </c>
      <c r="I67" s="1" t="str" cm="1">
        <f t="array" ref="I67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67" s="1">
        <f>ROUND(Table1[[#This Row],[Satisfaction Rating]],0)</f>
        <v>5</v>
      </c>
    </row>
    <row r="68" spans="1:10">
      <c r="A68" s="1" t="s">
        <v>104</v>
      </c>
      <c r="B68" s="1" t="s">
        <v>19</v>
      </c>
      <c r="C68" s="1">
        <v>40</v>
      </c>
      <c r="D68" s="1" t="s">
        <v>37</v>
      </c>
      <c r="E68" s="2">
        <v>46160</v>
      </c>
      <c r="F68" s="1">
        <v>64</v>
      </c>
      <c r="G68" s="1">
        <v>3</v>
      </c>
      <c r="H68" s="1" t="str">
        <f>TEXT(Table1[[#This Row],[Date of Call]],"DDDD")</f>
        <v>Monday</v>
      </c>
      <c r="I68" s="1" t="str" cm="1">
        <f t="array" ref="I68">_xlfn.IFS(Table1[[#This Row],[Duration]]&lt;=10,"Under 10 mins",Table1[[#This Row],[Duration]]&lt;=30,"10 to 30 mins",Table1[[#This Row],[Duration]]&lt;=60,"30 to 60 min",Table1[[#This Row],[Duration]]&lt;=120,"1to2 hours",TRUE,"More than 2 hours")</f>
        <v>30 to 60 min</v>
      </c>
      <c r="J68" s="1">
        <f>ROUND(Table1[[#This Row],[Satisfaction Rating]],0)</f>
        <v>3</v>
      </c>
    </row>
    <row r="69" spans="1:10">
      <c r="A69" s="1" t="s">
        <v>105</v>
      </c>
      <c r="B69" s="1" t="s">
        <v>106</v>
      </c>
      <c r="C69" s="1">
        <v>15</v>
      </c>
      <c r="D69" s="1" t="s">
        <v>22</v>
      </c>
      <c r="E69" s="2">
        <v>46160</v>
      </c>
      <c r="F69" s="1">
        <v>185</v>
      </c>
      <c r="G69" s="1">
        <v>3.9</v>
      </c>
      <c r="H69" s="1" t="str">
        <f>TEXT(Table1[[#This Row],[Date of Call]],"DDDD")</f>
        <v>Monday</v>
      </c>
      <c r="I69" s="1" t="str" cm="1">
        <f t="array" ref="I69">_xlfn.IFS(Table1[[#This Row],[Duration]]&lt;=10,"Under 10 mins",Table1[[#This Row],[Duration]]&lt;=30,"10 to 30 mins",Table1[[#This Row],[Duration]]&lt;=60,"30 to 60 min",Table1[[#This Row],[Duration]]&lt;=120,"1to2 hours",TRUE,"More than 2 hours")</f>
        <v>10 to 30 mins</v>
      </c>
      <c r="J69" s="1">
        <f>ROUND(Table1[[#This Row],[Satisfaction Rating]],0)</f>
        <v>4</v>
      </c>
    </row>
    <row r="70" spans="1:10">
      <c r="A70" s="1" t="s">
        <v>107</v>
      </c>
      <c r="B70" s="1" t="s">
        <v>59</v>
      </c>
      <c r="C70" s="1">
        <v>84</v>
      </c>
      <c r="D70" s="1" t="s">
        <v>22</v>
      </c>
      <c r="E70" s="2">
        <v>46160</v>
      </c>
      <c r="F70" s="1">
        <v>133</v>
      </c>
      <c r="G70" s="1">
        <v>2.9</v>
      </c>
      <c r="H70" s="1" t="str">
        <f>TEXT(Table1[[#This Row],[Date of Call]],"DDDD")</f>
        <v>Monday</v>
      </c>
      <c r="I70" s="1" t="str" cm="1">
        <f t="array" ref="I70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70" s="1">
        <f>ROUND(Table1[[#This Row],[Satisfaction Rating]],0)</f>
        <v>3</v>
      </c>
    </row>
    <row r="71" spans="1:10">
      <c r="A71" s="1" t="s">
        <v>108</v>
      </c>
      <c r="B71" s="1" t="s">
        <v>86</v>
      </c>
      <c r="C71" s="1">
        <v>176</v>
      </c>
      <c r="D71" s="1" t="s">
        <v>22</v>
      </c>
      <c r="E71" s="2">
        <v>46072</v>
      </c>
      <c r="F71" s="1">
        <v>193</v>
      </c>
      <c r="G71" s="1">
        <v>3.8</v>
      </c>
      <c r="H71" s="1" t="str">
        <f>TEXT(Table1[[#This Row],[Date of Call]],"DDDD")</f>
        <v>Thursday</v>
      </c>
      <c r="I71" s="1" t="str" cm="1">
        <f t="array" ref="I71">_xlfn.IFS(Table1[[#This Row],[Duration]]&lt;=10,"Under 10 mins",Table1[[#This Row],[Duration]]&lt;=30,"10 to 30 mins",Table1[[#This Row],[Duration]]&lt;=60,"30 to 60 min",Table1[[#This Row],[Duration]]&lt;=120,"1to2 hours",TRUE,"More than 2 hours")</f>
        <v>More than 2 hours</v>
      </c>
      <c r="J71" s="1">
        <f>ROUND(Table1[[#This Row],[Satisfaction Rating]],0)</f>
        <v>4</v>
      </c>
    </row>
    <row r="72" spans="1:10">
      <c r="A72" s="1" t="s">
        <v>109</v>
      </c>
      <c r="B72" s="1" t="s">
        <v>26</v>
      </c>
      <c r="C72" s="1">
        <v>74</v>
      </c>
      <c r="D72" s="1" t="s">
        <v>37</v>
      </c>
      <c r="E72" s="2">
        <v>46072</v>
      </c>
      <c r="F72" s="1">
        <v>90</v>
      </c>
      <c r="G72" s="1">
        <v>1.5</v>
      </c>
      <c r="H72" s="1" t="str">
        <f>TEXT(Table1[[#This Row],[Date of Call]],"DDDD")</f>
        <v>Thursday</v>
      </c>
      <c r="I72" s="1" t="str" cm="1">
        <f t="array" ref="I72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72" s="1">
        <f>ROUND(Table1[[#This Row],[Satisfaction Rating]],0)</f>
        <v>2</v>
      </c>
    </row>
    <row r="73" spans="1:10">
      <c r="A73" s="1" t="s">
        <v>110</v>
      </c>
      <c r="B73" s="1" t="s">
        <v>24</v>
      </c>
      <c r="C73" s="1">
        <v>132</v>
      </c>
      <c r="D73" s="1" t="s">
        <v>17</v>
      </c>
      <c r="E73" s="2">
        <v>46041</v>
      </c>
      <c r="F73" s="1">
        <v>12</v>
      </c>
      <c r="G73" s="1">
        <v>2.8</v>
      </c>
      <c r="H73" s="1" t="str">
        <f>TEXT(Table1[[#This Row],[Date of Call]],"DDDD")</f>
        <v>Monday</v>
      </c>
      <c r="I73" s="1" t="str" cm="1">
        <f t="array" ref="I73">_xlfn.IFS(Table1[[#This Row],[Duration]]&lt;=10,"Under 10 mins",Table1[[#This Row],[Duration]]&lt;=30,"10 to 30 mins",Table1[[#This Row],[Duration]]&lt;=60,"30 to 60 min",Table1[[#This Row],[Duration]]&lt;=120,"1to2 hours",TRUE,"More than 2 hours")</f>
        <v>More than 2 hours</v>
      </c>
      <c r="J73" s="1">
        <f>ROUND(Table1[[#This Row],[Satisfaction Rating]],0)</f>
        <v>3</v>
      </c>
    </row>
    <row r="74" spans="1:10">
      <c r="A74" s="1" t="s">
        <v>111</v>
      </c>
      <c r="B74" s="1" t="s">
        <v>40</v>
      </c>
      <c r="C74" s="1">
        <v>83</v>
      </c>
      <c r="D74" s="1" t="s">
        <v>13</v>
      </c>
      <c r="E74" s="2">
        <v>46041</v>
      </c>
      <c r="F74" s="1">
        <v>25</v>
      </c>
      <c r="G74" s="1">
        <v>1.7</v>
      </c>
      <c r="H74" s="1" t="str">
        <f>TEXT(Table1[[#This Row],[Date of Call]],"DDDD")</f>
        <v>Monday</v>
      </c>
      <c r="I74" s="1" t="str" cm="1">
        <f t="array" ref="I74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74" s="1">
        <f>ROUND(Table1[[#This Row],[Satisfaction Rating]],0)</f>
        <v>2</v>
      </c>
    </row>
    <row r="75" spans="1:10">
      <c r="A75" s="1" t="s">
        <v>112</v>
      </c>
      <c r="B75" s="1" t="s">
        <v>35</v>
      </c>
      <c r="C75" s="1">
        <v>156</v>
      </c>
      <c r="D75" s="1" t="s">
        <v>17</v>
      </c>
      <c r="E75" s="2">
        <v>46192</v>
      </c>
      <c r="F75" s="1">
        <v>36</v>
      </c>
      <c r="G75" s="1">
        <v>4.8</v>
      </c>
      <c r="H75" s="1" t="str">
        <f>TEXT(Table1[[#This Row],[Date of Call]],"DDDD")</f>
        <v>Friday</v>
      </c>
      <c r="I75" s="1" t="str" cm="1">
        <f t="array" ref="I75">_xlfn.IFS(Table1[[#This Row],[Duration]]&lt;=10,"Under 10 mins",Table1[[#This Row],[Duration]]&lt;=30,"10 to 30 mins",Table1[[#This Row],[Duration]]&lt;=60,"30 to 60 min",Table1[[#This Row],[Duration]]&lt;=120,"1to2 hours",TRUE,"More than 2 hours")</f>
        <v>More than 2 hours</v>
      </c>
      <c r="J75" s="1">
        <f>ROUND(Table1[[#This Row],[Satisfaction Rating]],0)</f>
        <v>5</v>
      </c>
    </row>
    <row r="76" spans="1:10">
      <c r="A76" s="1" t="s">
        <v>113</v>
      </c>
      <c r="B76" s="1" t="s">
        <v>40</v>
      </c>
      <c r="C76" s="1">
        <v>53</v>
      </c>
      <c r="D76" s="1" t="s">
        <v>22</v>
      </c>
      <c r="E76" s="2">
        <v>46100</v>
      </c>
      <c r="F76" s="1">
        <v>31</v>
      </c>
      <c r="G76" s="1">
        <v>5</v>
      </c>
      <c r="H76" s="1" t="str">
        <f>TEXT(Table1[[#This Row],[Date of Call]],"DDDD")</f>
        <v>Thursday</v>
      </c>
      <c r="I76" s="1" t="str" cm="1">
        <f t="array" ref="I76">_xlfn.IFS(Table1[[#This Row],[Duration]]&lt;=10,"Under 10 mins",Table1[[#This Row],[Duration]]&lt;=30,"10 to 30 mins",Table1[[#This Row],[Duration]]&lt;=60,"30 to 60 min",Table1[[#This Row],[Duration]]&lt;=120,"1to2 hours",TRUE,"More than 2 hours")</f>
        <v>30 to 60 min</v>
      </c>
      <c r="J76" s="1">
        <f>ROUND(Table1[[#This Row],[Satisfaction Rating]],0)</f>
        <v>5</v>
      </c>
    </row>
    <row r="77" spans="1:10">
      <c r="A77" s="1" t="s">
        <v>114</v>
      </c>
      <c r="B77" s="1" t="s">
        <v>47</v>
      </c>
      <c r="C77" s="1">
        <v>79</v>
      </c>
      <c r="D77" s="1" t="s">
        <v>27</v>
      </c>
      <c r="E77" s="2">
        <v>46100</v>
      </c>
      <c r="F77" s="1">
        <v>60</v>
      </c>
      <c r="G77" s="1">
        <v>5</v>
      </c>
      <c r="H77" s="1" t="str">
        <f>TEXT(Table1[[#This Row],[Date of Call]],"DDDD")</f>
        <v>Thursday</v>
      </c>
      <c r="I77" s="1" t="str" cm="1">
        <f t="array" ref="I77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77" s="1">
        <f>ROUND(Table1[[#This Row],[Satisfaction Rating]],0)</f>
        <v>5</v>
      </c>
    </row>
    <row r="78" spans="1:10">
      <c r="A78" s="1" t="s">
        <v>115</v>
      </c>
      <c r="B78" s="1" t="s">
        <v>40</v>
      </c>
      <c r="C78" s="1">
        <v>110</v>
      </c>
      <c r="D78" s="1" t="s">
        <v>13</v>
      </c>
      <c r="E78" s="2">
        <v>46161</v>
      </c>
      <c r="F78" s="1">
        <v>145</v>
      </c>
      <c r="G78" s="1">
        <v>4.7</v>
      </c>
      <c r="H78" s="1" t="str">
        <f>TEXT(Table1[[#This Row],[Date of Call]],"DDDD")</f>
        <v>Tuesday</v>
      </c>
      <c r="I78" s="1" t="str" cm="1">
        <f t="array" ref="I78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78" s="1">
        <f>ROUND(Table1[[#This Row],[Satisfaction Rating]],0)</f>
        <v>5</v>
      </c>
    </row>
    <row r="79" spans="1:10">
      <c r="A79" s="1" t="s">
        <v>116</v>
      </c>
      <c r="B79" s="1" t="s">
        <v>42</v>
      </c>
      <c r="C79" s="1">
        <v>123</v>
      </c>
      <c r="D79" s="1" t="s">
        <v>13</v>
      </c>
      <c r="E79" s="2">
        <v>46161</v>
      </c>
      <c r="F79" s="1">
        <v>196</v>
      </c>
      <c r="G79" s="1">
        <v>3.8</v>
      </c>
      <c r="H79" s="1" t="str">
        <f>TEXT(Table1[[#This Row],[Date of Call]],"DDDD")</f>
        <v>Tuesday</v>
      </c>
      <c r="I79" s="1" t="str" cm="1">
        <f t="array" ref="I79">_xlfn.IFS(Table1[[#This Row],[Duration]]&lt;=10,"Under 10 mins",Table1[[#This Row],[Duration]]&lt;=30,"10 to 30 mins",Table1[[#This Row],[Duration]]&lt;=60,"30 to 60 min",Table1[[#This Row],[Duration]]&lt;=120,"1to2 hours",TRUE,"More than 2 hours")</f>
        <v>More than 2 hours</v>
      </c>
      <c r="J79" s="1">
        <f>ROUND(Table1[[#This Row],[Satisfaction Rating]],0)</f>
        <v>4</v>
      </c>
    </row>
    <row r="80" spans="1:10">
      <c r="A80" s="1" t="s">
        <v>117</v>
      </c>
      <c r="B80" s="1" t="s">
        <v>52</v>
      </c>
      <c r="C80" s="1">
        <v>175</v>
      </c>
      <c r="D80" s="1" t="s">
        <v>27</v>
      </c>
      <c r="E80" s="2">
        <v>46161</v>
      </c>
      <c r="F80" s="1">
        <v>19</v>
      </c>
      <c r="G80" s="1">
        <v>3.5</v>
      </c>
      <c r="H80" s="1" t="str">
        <f>TEXT(Table1[[#This Row],[Date of Call]],"DDDD")</f>
        <v>Tuesday</v>
      </c>
      <c r="I80" s="1" t="str" cm="1">
        <f t="array" ref="I80">_xlfn.IFS(Table1[[#This Row],[Duration]]&lt;=10,"Under 10 mins",Table1[[#This Row],[Duration]]&lt;=30,"10 to 30 mins",Table1[[#This Row],[Duration]]&lt;=60,"30 to 60 min",Table1[[#This Row],[Duration]]&lt;=120,"1to2 hours",TRUE,"More than 2 hours")</f>
        <v>More than 2 hours</v>
      </c>
      <c r="J80" s="1">
        <f>ROUND(Table1[[#This Row],[Satisfaction Rating]],0)</f>
        <v>4</v>
      </c>
    </row>
    <row r="81" spans="1:10">
      <c r="A81" s="1" t="s">
        <v>118</v>
      </c>
      <c r="B81" s="1" t="s">
        <v>50</v>
      </c>
      <c r="C81" s="1">
        <v>90</v>
      </c>
      <c r="D81" s="1" t="s">
        <v>22</v>
      </c>
      <c r="E81" s="2">
        <v>46055</v>
      </c>
      <c r="F81" s="1">
        <v>59</v>
      </c>
      <c r="G81" s="1">
        <v>2.7</v>
      </c>
      <c r="H81" s="1" t="str">
        <f>TEXT(Table1[[#This Row],[Date of Call]],"DDDD")</f>
        <v>Monday</v>
      </c>
      <c r="I81" s="1" t="str" cm="1">
        <f t="array" ref="I81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81" s="1">
        <f>ROUND(Table1[[#This Row],[Satisfaction Rating]],0)</f>
        <v>3</v>
      </c>
    </row>
    <row r="82" spans="1:10">
      <c r="A82" s="1" t="s">
        <v>119</v>
      </c>
      <c r="B82" s="1" t="s">
        <v>50</v>
      </c>
      <c r="C82" s="1">
        <v>57</v>
      </c>
      <c r="D82" s="1" t="s">
        <v>27</v>
      </c>
      <c r="E82" s="2">
        <v>46055</v>
      </c>
      <c r="F82" s="1">
        <v>169</v>
      </c>
      <c r="G82" s="1">
        <v>3.1</v>
      </c>
      <c r="H82" s="1" t="str">
        <f>TEXT(Table1[[#This Row],[Date of Call]],"DDDD")</f>
        <v>Monday</v>
      </c>
      <c r="I82" s="1" t="str" cm="1">
        <f t="array" ref="I82">_xlfn.IFS(Table1[[#This Row],[Duration]]&lt;=10,"Under 10 mins",Table1[[#This Row],[Duration]]&lt;=30,"10 to 30 mins",Table1[[#This Row],[Duration]]&lt;=60,"30 to 60 min",Table1[[#This Row],[Duration]]&lt;=120,"1to2 hours",TRUE,"More than 2 hours")</f>
        <v>30 to 60 min</v>
      </c>
      <c r="J82" s="1">
        <f>ROUND(Table1[[#This Row],[Satisfaction Rating]],0)</f>
        <v>3</v>
      </c>
    </row>
    <row r="83" spans="1:10">
      <c r="A83" s="1" t="s">
        <v>120</v>
      </c>
      <c r="B83" s="1" t="s">
        <v>42</v>
      </c>
      <c r="C83" s="1">
        <v>54</v>
      </c>
      <c r="D83" s="1" t="s">
        <v>13</v>
      </c>
      <c r="E83" s="2">
        <v>46055</v>
      </c>
      <c r="F83" s="1">
        <v>131</v>
      </c>
      <c r="G83" s="1">
        <v>3.7</v>
      </c>
      <c r="H83" s="1" t="str">
        <f>TEXT(Table1[[#This Row],[Date of Call]],"DDDD")</f>
        <v>Monday</v>
      </c>
      <c r="I83" s="1" t="str" cm="1">
        <f t="array" ref="I83">_xlfn.IFS(Table1[[#This Row],[Duration]]&lt;=10,"Under 10 mins",Table1[[#This Row],[Duration]]&lt;=30,"10 to 30 mins",Table1[[#This Row],[Duration]]&lt;=60,"30 to 60 min",Table1[[#This Row],[Duration]]&lt;=120,"1to2 hours",TRUE,"More than 2 hours")</f>
        <v>30 to 60 min</v>
      </c>
      <c r="J83" s="1">
        <f>ROUND(Table1[[#This Row],[Satisfaction Rating]],0)</f>
        <v>4</v>
      </c>
    </row>
    <row r="84" spans="1:10">
      <c r="A84" s="1" t="s">
        <v>121</v>
      </c>
      <c r="B84" s="1" t="s">
        <v>29</v>
      </c>
      <c r="C84" s="1">
        <v>165</v>
      </c>
      <c r="D84" s="1" t="s">
        <v>22</v>
      </c>
      <c r="E84" s="2">
        <v>46175</v>
      </c>
      <c r="F84" s="1">
        <v>82</v>
      </c>
      <c r="G84" s="1">
        <v>4.9000000000000004</v>
      </c>
      <c r="H84" s="1" t="str">
        <f>TEXT(Table1[[#This Row],[Date of Call]],"DDDD")</f>
        <v>Tuesday</v>
      </c>
      <c r="I84" s="1" t="str" cm="1">
        <f t="array" ref="I84">_xlfn.IFS(Table1[[#This Row],[Duration]]&lt;=10,"Under 10 mins",Table1[[#This Row],[Duration]]&lt;=30,"10 to 30 mins",Table1[[#This Row],[Duration]]&lt;=60,"30 to 60 min",Table1[[#This Row],[Duration]]&lt;=120,"1to2 hours",TRUE,"More than 2 hours")</f>
        <v>More than 2 hours</v>
      </c>
      <c r="J84" s="1">
        <f>ROUND(Table1[[#This Row],[Satisfaction Rating]],0)</f>
        <v>5</v>
      </c>
    </row>
    <row r="85" spans="1:10">
      <c r="A85" s="1" t="s">
        <v>122</v>
      </c>
      <c r="B85" s="1" t="s">
        <v>62</v>
      </c>
      <c r="C85" s="1">
        <v>138</v>
      </c>
      <c r="D85" s="1" t="s">
        <v>37</v>
      </c>
      <c r="E85" s="2">
        <v>46083</v>
      </c>
      <c r="F85" s="1">
        <v>107</v>
      </c>
      <c r="G85" s="1">
        <v>3.3</v>
      </c>
      <c r="H85" s="1" t="str">
        <f>TEXT(Table1[[#This Row],[Date of Call]],"DDDD")</f>
        <v>Monday</v>
      </c>
      <c r="I85" s="1" t="str" cm="1">
        <f t="array" ref="I85">_xlfn.IFS(Table1[[#This Row],[Duration]]&lt;=10,"Under 10 mins",Table1[[#This Row],[Duration]]&lt;=30,"10 to 30 mins",Table1[[#This Row],[Duration]]&lt;=60,"30 to 60 min",Table1[[#This Row],[Duration]]&lt;=120,"1to2 hours",TRUE,"More than 2 hours")</f>
        <v>More than 2 hours</v>
      </c>
      <c r="J85" s="1">
        <f>ROUND(Table1[[#This Row],[Satisfaction Rating]],0)</f>
        <v>3</v>
      </c>
    </row>
    <row r="86" spans="1:10">
      <c r="A86" s="1" t="s">
        <v>123</v>
      </c>
      <c r="B86" s="1" t="s">
        <v>106</v>
      </c>
      <c r="C86" s="1">
        <v>26</v>
      </c>
      <c r="D86" s="1" t="s">
        <v>17</v>
      </c>
      <c r="E86" s="2">
        <v>46144</v>
      </c>
      <c r="F86" s="1">
        <v>190</v>
      </c>
      <c r="G86" s="1">
        <v>4.7</v>
      </c>
      <c r="H86" s="1" t="str">
        <f>TEXT(Table1[[#This Row],[Date of Call]],"DDDD")</f>
        <v>Saturday</v>
      </c>
      <c r="I86" s="1" t="str" cm="1">
        <f t="array" ref="I86">_xlfn.IFS(Table1[[#This Row],[Duration]]&lt;=10,"Under 10 mins",Table1[[#This Row],[Duration]]&lt;=30,"10 to 30 mins",Table1[[#This Row],[Duration]]&lt;=60,"30 to 60 min",Table1[[#This Row],[Duration]]&lt;=120,"1to2 hours",TRUE,"More than 2 hours")</f>
        <v>10 to 30 mins</v>
      </c>
      <c r="J86" s="1">
        <f>ROUND(Table1[[#This Row],[Satisfaction Rating]],0)</f>
        <v>5</v>
      </c>
    </row>
    <row r="87" spans="1:10">
      <c r="A87" s="1" t="s">
        <v>124</v>
      </c>
      <c r="B87" s="1" t="s">
        <v>12</v>
      </c>
      <c r="C87" s="1">
        <v>128</v>
      </c>
      <c r="D87" s="1" t="s">
        <v>22</v>
      </c>
      <c r="E87" s="2">
        <v>46132</v>
      </c>
      <c r="F87" s="1">
        <v>153</v>
      </c>
      <c r="G87" s="1">
        <v>1</v>
      </c>
      <c r="H87" s="1" t="str">
        <f>TEXT(Table1[[#This Row],[Date of Call]],"DDDD")</f>
        <v>Monday</v>
      </c>
      <c r="I87" s="1" t="str" cm="1">
        <f t="array" ref="I87">_xlfn.IFS(Table1[[#This Row],[Duration]]&lt;=10,"Under 10 mins",Table1[[#This Row],[Duration]]&lt;=30,"10 to 30 mins",Table1[[#This Row],[Duration]]&lt;=60,"30 to 60 min",Table1[[#This Row],[Duration]]&lt;=120,"1to2 hours",TRUE,"More than 2 hours")</f>
        <v>More than 2 hours</v>
      </c>
      <c r="J87" s="1">
        <f>ROUND(Table1[[#This Row],[Satisfaction Rating]],0)</f>
        <v>1</v>
      </c>
    </row>
    <row r="88" spans="1:10">
      <c r="A88" s="1" t="s">
        <v>125</v>
      </c>
      <c r="B88" s="1" t="s">
        <v>50</v>
      </c>
      <c r="C88" s="1">
        <v>116</v>
      </c>
      <c r="D88" s="1" t="s">
        <v>13</v>
      </c>
      <c r="E88" s="2">
        <v>46042</v>
      </c>
      <c r="F88" s="1">
        <v>161</v>
      </c>
      <c r="G88" s="1">
        <v>3.8</v>
      </c>
      <c r="H88" s="1" t="str">
        <f>TEXT(Table1[[#This Row],[Date of Call]],"DDDD")</f>
        <v>Tuesday</v>
      </c>
      <c r="I88" s="1" t="str" cm="1">
        <f t="array" ref="I88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88" s="1">
        <f>ROUND(Table1[[#This Row],[Satisfaction Rating]],0)</f>
        <v>4</v>
      </c>
    </row>
    <row r="89" spans="1:10">
      <c r="A89" s="1" t="s">
        <v>126</v>
      </c>
      <c r="B89" s="1" t="s">
        <v>127</v>
      </c>
      <c r="C89" s="1">
        <v>118</v>
      </c>
      <c r="D89" s="1" t="s">
        <v>13</v>
      </c>
      <c r="E89" s="2">
        <v>46101</v>
      </c>
      <c r="F89" s="1">
        <v>179</v>
      </c>
      <c r="G89" s="1">
        <v>3.3</v>
      </c>
      <c r="H89" s="1" t="str">
        <f>TEXT(Table1[[#This Row],[Date of Call]],"DDDD")</f>
        <v>Friday</v>
      </c>
      <c r="I89" s="1" t="str" cm="1">
        <f t="array" ref="I89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89" s="1">
        <f>ROUND(Table1[[#This Row],[Satisfaction Rating]],0)</f>
        <v>3</v>
      </c>
    </row>
    <row r="90" spans="1:10">
      <c r="A90" s="1" t="s">
        <v>128</v>
      </c>
      <c r="B90" s="1" t="s">
        <v>29</v>
      </c>
      <c r="C90" s="1">
        <v>65</v>
      </c>
      <c r="D90" s="1" t="s">
        <v>17</v>
      </c>
      <c r="E90" s="2">
        <v>46133</v>
      </c>
      <c r="F90" s="1">
        <v>27</v>
      </c>
      <c r="G90" s="1">
        <v>4.8</v>
      </c>
      <c r="H90" s="1" t="str">
        <f>TEXT(Table1[[#This Row],[Date of Call]],"DDDD")</f>
        <v>Tuesday</v>
      </c>
      <c r="I90" s="1" t="str" cm="1">
        <f t="array" ref="I90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90" s="1">
        <f>ROUND(Table1[[#This Row],[Satisfaction Rating]],0)</f>
        <v>5</v>
      </c>
    </row>
    <row r="91" spans="1:10">
      <c r="A91" s="1" t="s">
        <v>129</v>
      </c>
      <c r="B91" s="1" t="s">
        <v>73</v>
      </c>
      <c r="C91" s="1">
        <v>46</v>
      </c>
      <c r="D91" s="1" t="s">
        <v>27</v>
      </c>
      <c r="E91" s="2">
        <v>46043</v>
      </c>
      <c r="F91" s="1">
        <v>151</v>
      </c>
      <c r="G91" s="1">
        <v>2.2000000000000002</v>
      </c>
      <c r="H91" s="1" t="str">
        <f>TEXT(Table1[[#This Row],[Date of Call]],"DDDD")</f>
        <v>Wednesday</v>
      </c>
      <c r="I91" s="1" t="str" cm="1">
        <f t="array" ref="I91">_xlfn.IFS(Table1[[#This Row],[Duration]]&lt;=10,"Under 10 mins",Table1[[#This Row],[Duration]]&lt;=30,"10 to 30 mins",Table1[[#This Row],[Duration]]&lt;=60,"30 to 60 min",Table1[[#This Row],[Duration]]&lt;=120,"1to2 hours",TRUE,"More than 2 hours")</f>
        <v>30 to 60 min</v>
      </c>
      <c r="J91" s="1">
        <f>ROUND(Table1[[#This Row],[Satisfaction Rating]],0)</f>
        <v>2</v>
      </c>
    </row>
    <row r="92" spans="1:10">
      <c r="A92" s="1" t="s">
        <v>130</v>
      </c>
      <c r="B92" s="1" t="s">
        <v>80</v>
      </c>
      <c r="C92" s="1">
        <v>73</v>
      </c>
      <c r="D92" s="1" t="s">
        <v>17</v>
      </c>
      <c r="E92" s="2">
        <v>46043</v>
      </c>
      <c r="F92" s="1">
        <v>69</v>
      </c>
      <c r="G92" s="1">
        <v>4.5</v>
      </c>
      <c r="H92" s="1" t="str">
        <f>TEXT(Table1[[#This Row],[Date of Call]],"DDDD")</f>
        <v>Wednesday</v>
      </c>
      <c r="I92" s="1" t="str" cm="1">
        <f t="array" ref="I92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92" s="1">
        <f>ROUND(Table1[[#This Row],[Satisfaction Rating]],0)</f>
        <v>5</v>
      </c>
    </row>
    <row r="93" spans="1:10">
      <c r="A93" s="1" t="s">
        <v>131</v>
      </c>
      <c r="B93" s="1" t="s">
        <v>42</v>
      </c>
      <c r="C93" s="1">
        <v>25</v>
      </c>
      <c r="D93" s="1" t="s">
        <v>22</v>
      </c>
      <c r="E93" s="2">
        <v>46043</v>
      </c>
      <c r="F93" s="1">
        <v>117</v>
      </c>
      <c r="G93" s="1">
        <v>3.6</v>
      </c>
      <c r="H93" s="1" t="str">
        <f>TEXT(Table1[[#This Row],[Date of Call]],"DDDD")</f>
        <v>Wednesday</v>
      </c>
      <c r="I93" s="1" t="str" cm="1">
        <f t="array" ref="I93">_xlfn.IFS(Table1[[#This Row],[Duration]]&lt;=10,"Under 10 mins",Table1[[#This Row],[Duration]]&lt;=30,"10 to 30 mins",Table1[[#This Row],[Duration]]&lt;=60,"30 to 60 min",Table1[[#This Row],[Duration]]&lt;=120,"1to2 hours",TRUE,"More than 2 hours")</f>
        <v>10 to 30 mins</v>
      </c>
      <c r="J93" s="1">
        <f>ROUND(Table1[[#This Row],[Satisfaction Rating]],0)</f>
        <v>4</v>
      </c>
    </row>
    <row r="94" spans="1:10">
      <c r="A94" s="1" t="s">
        <v>132</v>
      </c>
      <c r="B94" s="1" t="s">
        <v>47</v>
      </c>
      <c r="C94" s="1">
        <v>94</v>
      </c>
      <c r="D94" s="1" t="s">
        <v>27</v>
      </c>
      <c r="E94" s="2">
        <v>46194</v>
      </c>
      <c r="F94" s="1">
        <v>176</v>
      </c>
      <c r="G94" s="1">
        <v>2.5</v>
      </c>
      <c r="H94" s="1" t="str">
        <f>TEXT(Table1[[#This Row],[Date of Call]],"DDDD")</f>
        <v>Sunday</v>
      </c>
      <c r="I94" s="1" t="str" cm="1">
        <f t="array" ref="I94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94" s="1">
        <f>ROUND(Table1[[#This Row],[Satisfaction Rating]],0)</f>
        <v>3</v>
      </c>
    </row>
    <row r="95" spans="1:10">
      <c r="A95" s="1" t="s">
        <v>133</v>
      </c>
      <c r="B95" s="1" t="s">
        <v>29</v>
      </c>
      <c r="C95" s="1">
        <v>100</v>
      </c>
      <c r="D95" s="1" t="s">
        <v>27</v>
      </c>
      <c r="E95" s="2">
        <v>46194</v>
      </c>
      <c r="F95" s="1">
        <v>198</v>
      </c>
      <c r="G95" s="1">
        <v>4.2</v>
      </c>
      <c r="H95" s="1" t="str">
        <f>TEXT(Table1[[#This Row],[Date of Call]],"DDDD")</f>
        <v>Sunday</v>
      </c>
      <c r="I95" s="1" t="str" cm="1">
        <f t="array" ref="I95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95" s="1">
        <f>ROUND(Table1[[#This Row],[Satisfaction Rating]],0)</f>
        <v>4</v>
      </c>
    </row>
    <row r="96" spans="1:10">
      <c r="A96" s="1" t="s">
        <v>134</v>
      </c>
      <c r="B96" s="1" t="s">
        <v>29</v>
      </c>
      <c r="C96" s="1">
        <v>91</v>
      </c>
      <c r="D96" s="1" t="s">
        <v>22</v>
      </c>
      <c r="E96" s="2">
        <v>46102</v>
      </c>
      <c r="F96" s="1">
        <v>180</v>
      </c>
      <c r="G96" s="1">
        <v>2.6</v>
      </c>
      <c r="H96" s="1" t="str">
        <f>TEXT(Table1[[#This Row],[Date of Call]],"DDDD")</f>
        <v>Saturday</v>
      </c>
      <c r="I96" s="1" t="str" cm="1">
        <f t="array" ref="I96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96" s="1">
        <f>ROUND(Table1[[#This Row],[Satisfaction Rating]],0)</f>
        <v>3</v>
      </c>
    </row>
    <row r="97" spans="1:10">
      <c r="A97" s="1" t="s">
        <v>135</v>
      </c>
      <c r="B97" s="1" t="s">
        <v>71</v>
      </c>
      <c r="C97" s="1">
        <v>163</v>
      </c>
      <c r="D97" s="1" t="s">
        <v>37</v>
      </c>
      <c r="E97" s="2">
        <v>46102</v>
      </c>
      <c r="F97" s="1">
        <v>157</v>
      </c>
      <c r="G97" s="1">
        <v>3.7</v>
      </c>
      <c r="H97" s="1" t="str">
        <f>TEXT(Table1[[#This Row],[Date of Call]],"DDDD")</f>
        <v>Saturday</v>
      </c>
      <c r="I97" s="1" t="str" cm="1">
        <f t="array" ref="I97">_xlfn.IFS(Table1[[#This Row],[Duration]]&lt;=10,"Under 10 mins",Table1[[#This Row],[Duration]]&lt;=30,"10 to 30 mins",Table1[[#This Row],[Duration]]&lt;=60,"30 to 60 min",Table1[[#This Row],[Duration]]&lt;=120,"1to2 hours",TRUE,"More than 2 hours")</f>
        <v>More than 2 hours</v>
      </c>
      <c r="J97" s="1">
        <f>ROUND(Table1[[#This Row],[Satisfaction Rating]],0)</f>
        <v>4</v>
      </c>
    </row>
    <row r="98" spans="1:10">
      <c r="A98" s="1" t="s">
        <v>136</v>
      </c>
      <c r="B98" s="1" t="s">
        <v>86</v>
      </c>
      <c r="C98" s="1">
        <v>144</v>
      </c>
      <c r="D98" s="1" t="s">
        <v>27</v>
      </c>
      <c r="E98" s="2">
        <v>46163</v>
      </c>
      <c r="F98" s="1">
        <v>124</v>
      </c>
      <c r="G98" s="1">
        <v>4.5999999999999996</v>
      </c>
      <c r="H98" s="1" t="str">
        <f>TEXT(Table1[[#This Row],[Date of Call]],"DDDD")</f>
        <v>Thursday</v>
      </c>
      <c r="I98" s="1" t="str" cm="1">
        <f t="array" ref="I98">_xlfn.IFS(Table1[[#This Row],[Duration]]&lt;=10,"Under 10 mins",Table1[[#This Row],[Duration]]&lt;=30,"10 to 30 mins",Table1[[#This Row],[Duration]]&lt;=60,"30 to 60 min",Table1[[#This Row],[Duration]]&lt;=120,"1to2 hours",TRUE,"More than 2 hours")</f>
        <v>More than 2 hours</v>
      </c>
      <c r="J98" s="1">
        <f>ROUND(Table1[[#This Row],[Satisfaction Rating]],0)</f>
        <v>5</v>
      </c>
    </row>
    <row r="99" spans="1:10">
      <c r="A99" s="1" t="s">
        <v>137</v>
      </c>
      <c r="B99" s="1" t="s">
        <v>106</v>
      </c>
      <c r="C99" s="1">
        <v>103</v>
      </c>
      <c r="D99" s="1" t="s">
        <v>17</v>
      </c>
      <c r="E99" s="2">
        <v>46134</v>
      </c>
      <c r="F99" s="1">
        <v>165</v>
      </c>
      <c r="G99" s="1">
        <v>4.9000000000000004</v>
      </c>
      <c r="H99" s="1" t="str">
        <f>TEXT(Table1[[#This Row],[Date of Call]],"DDDD")</f>
        <v>Wednesday</v>
      </c>
      <c r="I99" s="1" t="str" cm="1">
        <f t="array" ref="I99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99" s="1">
        <f>ROUND(Table1[[#This Row],[Satisfaction Rating]],0)</f>
        <v>5</v>
      </c>
    </row>
    <row r="100" spans="1:10">
      <c r="A100" s="1" t="s">
        <v>138</v>
      </c>
      <c r="B100" s="1" t="s">
        <v>59</v>
      </c>
      <c r="C100" s="1">
        <v>132</v>
      </c>
      <c r="D100" s="1" t="s">
        <v>13</v>
      </c>
      <c r="E100" s="2">
        <v>46134</v>
      </c>
      <c r="F100" s="1">
        <v>55</v>
      </c>
      <c r="G100" s="1">
        <v>3.9</v>
      </c>
      <c r="H100" s="1" t="str">
        <f>TEXT(Table1[[#This Row],[Date of Call]],"DDDD")</f>
        <v>Wednesday</v>
      </c>
      <c r="I100" s="1" t="str" cm="1">
        <f t="array" ref="I100">_xlfn.IFS(Table1[[#This Row],[Duration]]&lt;=10,"Under 10 mins",Table1[[#This Row],[Duration]]&lt;=30,"10 to 30 mins",Table1[[#This Row],[Duration]]&lt;=60,"30 to 60 min",Table1[[#This Row],[Duration]]&lt;=120,"1to2 hours",TRUE,"More than 2 hours")</f>
        <v>More than 2 hours</v>
      </c>
      <c r="J100" s="1">
        <f>ROUND(Table1[[#This Row],[Satisfaction Rating]],0)</f>
        <v>4</v>
      </c>
    </row>
    <row r="101" spans="1:10">
      <c r="A101" s="1" t="s">
        <v>139</v>
      </c>
      <c r="B101" s="1" t="s">
        <v>44</v>
      </c>
      <c r="C101" s="1">
        <v>121</v>
      </c>
      <c r="D101" s="1" t="s">
        <v>37</v>
      </c>
      <c r="E101" s="2">
        <v>46075</v>
      </c>
      <c r="F101" s="1">
        <v>117</v>
      </c>
      <c r="G101" s="1">
        <v>2.6</v>
      </c>
      <c r="H101" s="1" t="str">
        <f>TEXT(Table1[[#This Row],[Date of Call]],"DDDD")</f>
        <v>Sunday</v>
      </c>
      <c r="I101" s="1" t="str" cm="1">
        <f t="array" ref="I101">_xlfn.IFS(Table1[[#This Row],[Duration]]&lt;=10,"Under 10 mins",Table1[[#This Row],[Duration]]&lt;=30,"10 to 30 mins",Table1[[#This Row],[Duration]]&lt;=60,"30 to 60 min",Table1[[#This Row],[Duration]]&lt;=120,"1to2 hours",TRUE,"More than 2 hours")</f>
        <v>More than 2 hours</v>
      </c>
      <c r="J101" s="1">
        <f>ROUND(Table1[[#This Row],[Satisfaction Rating]],0)</f>
        <v>3</v>
      </c>
    </row>
    <row r="102" spans="1:10">
      <c r="A102" s="1" t="s">
        <v>140</v>
      </c>
      <c r="B102" s="1" t="s">
        <v>106</v>
      </c>
      <c r="C102" s="1">
        <v>134</v>
      </c>
      <c r="D102" s="1" t="s">
        <v>37</v>
      </c>
      <c r="E102" s="2">
        <v>46195</v>
      </c>
      <c r="F102" s="1">
        <v>177</v>
      </c>
      <c r="G102" s="1">
        <v>4.9000000000000004</v>
      </c>
      <c r="H102" s="1" t="str">
        <f>TEXT(Table1[[#This Row],[Date of Call]],"DDDD")</f>
        <v>Monday</v>
      </c>
      <c r="I102" s="1" t="str" cm="1">
        <f t="array" ref="I102">_xlfn.IFS(Table1[[#This Row],[Duration]]&lt;=10,"Under 10 mins",Table1[[#This Row],[Duration]]&lt;=30,"10 to 30 mins",Table1[[#This Row],[Duration]]&lt;=60,"30 to 60 min",Table1[[#This Row],[Duration]]&lt;=120,"1to2 hours",TRUE,"More than 2 hours")</f>
        <v>More than 2 hours</v>
      </c>
      <c r="J102" s="1">
        <f>ROUND(Table1[[#This Row],[Satisfaction Rating]],0)</f>
        <v>5</v>
      </c>
    </row>
    <row r="103" spans="1:10">
      <c r="A103" s="1" t="s">
        <v>141</v>
      </c>
      <c r="B103" s="1" t="s">
        <v>59</v>
      </c>
      <c r="C103" s="1">
        <v>35</v>
      </c>
      <c r="D103" s="1" t="s">
        <v>17</v>
      </c>
      <c r="E103" s="2">
        <v>46195</v>
      </c>
      <c r="F103" s="1">
        <v>146</v>
      </c>
      <c r="G103" s="1">
        <v>2.5</v>
      </c>
      <c r="H103" s="1" t="str">
        <f>TEXT(Table1[[#This Row],[Date of Call]],"DDDD")</f>
        <v>Monday</v>
      </c>
      <c r="I103" s="1" t="str" cm="1">
        <f t="array" ref="I103">_xlfn.IFS(Table1[[#This Row],[Duration]]&lt;=10,"Under 10 mins",Table1[[#This Row],[Duration]]&lt;=30,"10 to 30 mins",Table1[[#This Row],[Duration]]&lt;=60,"30 to 60 min",Table1[[#This Row],[Duration]]&lt;=120,"1to2 hours",TRUE,"More than 2 hours")</f>
        <v>30 to 60 min</v>
      </c>
      <c r="J103" s="1">
        <f>ROUND(Table1[[#This Row],[Satisfaction Rating]],0)</f>
        <v>3</v>
      </c>
    </row>
    <row r="104" spans="1:10">
      <c r="A104" s="1" t="s">
        <v>142</v>
      </c>
      <c r="B104" s="1" t="s">
        <v>57</v>
      </c>
      <c r="C104" s="1">
        <v>99</v>
      </c>
      <c r="D104" s="1" t="s">
        <v>22</v>
      </c>
      <c r="E104" s="2">
        <v>46103</v>
      </c>
      <c r="F104" s="1">
        <v>179</v>
      </c>
      <c r="G104" s="1">
        <v>4.4000000000000004</v>
      </c>
      <c r="H104" s="1" t="str">
        <f>TEXT(Table1[[#This Row],[Date of Call]],"DDDD")</f>
        <v>Sunday</v>
      </c>
      <c r="I104" s="1" t="str" cm="1">
        <f t="array" ref="I104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104" s="1">
        <f>ROUND(Table1[[#This Row],[Satisfaction Rating]],0)</f>
        <v>4</v>
      </c>
    </row>
    <row r="105" spans="1:10">
      <c r="A105" s="1" t="s">
        <v>143</v>
      </c>
      <c r="B105" s="1" t="s">
        <v>52</v>
      </c>
      <c r="C105" s="1">
        <v>20</v>
      </c>
      <c r="D105" s="1" t="s">
        <v>22</v>
      </c>
      <c r="E105" s="2">
        <v>46164</v>
      </c>
      <c r="F105" s="1">
        <v>68</v>
      </c>
      <c r="G105" s="1">
        <v>3.4</v>
      </c>
      <c r="H105" s="1" t="str">
        <f>TEXT(Table1[[#This Row],[Date of Call]],"DDDD")</f>
        <v>Friday</v>
      </c>
      <c r="I105" s="1" t="str" cm="1">
        <f t="array" ref="I105">_xlfn.IFS(Table1[[#This Row],[Duration]]&lt;=10,"Under 10 mins",Table1[[#This Row],[Duration]]&lt;=30,"10 to 30 mins",Table1[[#This Row],[Duration]]&lt;=60,"30 to 60 min",Table1[[#This Row],[Duration]]&lt;=120,"1to2 hours",TRUE,"More than 2 hours")</f>
        <v>10 to 30 mins</v>
      </c>
      <c r="J105" s="1">
        <f>ROUND(Table1[[#This Row],[Satisfaction Rating]],0)</f>
        <v>3</v>
      </c>
    </row>
    <row r="106" spans="1:10">
      <c r="A106" s="1" t="s">
        <v>144</v>
      </c>
      <c r="B106" s="1" t="s">
        <v>127</v>
      </c>
      <c r="C106" s="1">
        <v>55</v>
      </c>
      <c r="D106" s="1" t="s">
        <v>17</v>
      </c>
      <c r="E106" s="2">
        <v>46164</v>
      </c>
      <c r="F106" s="1">
        <v>13</v>
      </c>
      <c r="G106" s="1">
        <v>3.2</v>
      </c>
      <c r="H106" s="1" t="str">
        <f>TEXT(Table1[[#This Row],[Date of Call]],"DDDD")</f>
        <v>Friday</v>
      </c>
      <c r="I106" s="1" t="str" cm="1">
        <f t="array" ref="I106">_xlfn.IFS(Table1[[#This Row],[Duration]]&lt;=10,"Under 10 mins",Table1[[#This Row],[Duration]]&lt;=30,"10 to 30 mins",Table1[[#This Row],[Duration]]&lt;=60,"30 to 60 min",Table1[[#This Row],[Duration]]&lt;=120,"1to2 hours",TRUE,"More than 2 hours")</f>
        <v>30 to 60 min</v>
      </c>
      <c r="J106" s="1">
        <f>ROUND(Table1[[#This Row],[Satisfaction Rating]],0)</f>
        <v>3</v>
      </c>
    </row>
    <row r="107" spans="1:10">
      <c r="A107" s="1" t="s">
        <v>145</v>
      </c>
      <c r="B107" s="1" t="s">
        <v>19</v>
      </c>
      <c r="C107" s="1">
        <v>99</v>
      </c>
      <c r="D107" s="1" t="s">
        <v>37</v>
      </c>
      <c r="E107" s="2">
        <v>46135</v>
      </c>
      <c r="F107" s="1">
        <v>35</v>
      </c>
      <c r="G107" s="1">
        <v>3.1</v>
      </c>
      <c r="H107" s="1" t="str">
        <f>TEXT(Table1[[#This Row],[Date of Call]],"DDDD")</f>
        <v>Thursday</v>
      </c>
      <c r="I107" s="1" t="str" cm="1">
        <f t="array" ref="I107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107" s="1">
        <f>ROUND(Table1[[#This Row],[Satisfaction Rating]],0)</f>
        <v>3</v>
      </c>
    </row>
    <row r="108" spans="1:10">
      <c r="A108" s="1" t="s">
        <v>146</v>
      </c>
      <c r="B108" s="1" t="s">
        <v>26</v>
      </c>
      <c r="C108" s="1">
        <v>87</v>
      </c>
      <c r="D108" s="1" t="s">
        <v>22</v>
      </c>
      <c r="E108" s="2">
        <v>46076</v>
      </c>
      <c r="F108" s="1">
        <v>193</v>
      </c>
      <c r="G108" s="1">
        <v>2.4</v>
      </c>
      <c r="H108" s="1" t="str">
        <f>TEXT(Table1[[#This Row],[Date of Call]],"DDDD")</f>
        <v>Monday</v>
      </c>
      <c r="I108" s="1" t="str" cm="1">
        <f t="array" ref="I108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108" s="1">
        <f>ROUND(Table1[[#This Row],[Satisfaction Rating]],0)</f>
        <v>2</v>
      </c>
    </row>
    <row r="109" spans="1:10">
      <c r="A109" s="1" t="s">
        <v>147</v>
      </c>
      <c r="B109" s="1" t="s">
        <v>57</v>
      </c>
      <c r="C109" s="1">
        <v>25</v>
      </c>
      <c r="D109" s="1" t="s">
        <v>17</v>
      </c>
      <c r="E109" s="2">
        <v>46076</v>
      </c>
      <c r="F109" s="1">
        <v>184</v>
      </c>
      <c r="G109" s="1">
        <v>2</v>
      </c>
      <c r="H109" s="1" t="str">
        <f>TEXT(Table1[[#This Row],[Date of Call]],"DDDD")</f>
        <v>Monday</v>
      </c>
      <c r="I109" s="1" t="str" cm="1">
        <f t="array" ref="I109">_xlfn.IFS(Table1[[#This Row],[Duration]]&lt;=10,"Under 10 mins",Table1[[#This Row],[Duration]]&lt;=30,"10 to 30 mins",Table1[[#This Row],[Duration]]&lt;=60,"30 to 60 min",Table1[[#This Row],[Duration]]&lt;=120,"1to2 hours",TRUE,"More than 2 hours")</f>
        <v>10 to 30 mins</v>
      </c>
      <c r="J109" s="1">
        <f>ROUND(Table1[[#This Row],[Satisfaction Rating]],0)</f>
        <v>2</v>
      </c>
    </row>
    <row r="110" spans="1:10">
      <c r="A110" s="1" t="s">
        <v>148</v>
      </c>
      <c r="B110" s="1" t="s">
        <v>29</v>
      </c>
      <c r="C110" s="1">
        <v>41</v>
      </c>
      <c r="D110" s="1" t="s">
        <v>22</v>
      </c>
      <c r="E110" s="2">
        <v>46045</v>
      </c>
      <c r="F110" s="1">
        <v>161</v>
      </c>
      <c r="G110" s="1">
        <v>2.7</v>
      </c>
      <c r="H110" s="1" t="str">
        <f>TEXT(Table1[[#This Row],[Date of Call]],"DDDD")</f>
        <v>Friday</v>
      </c>
      <c r="I110" s="1" t="str" cm="1">
        <f t="array" ref="I110">_xlfn.IFS(Table1[[#This Row],[Duration]]&lt;=10,"Under 10 mins",Table1[[#This Row],[Duration]]&lt;=30,"10 to 30 mins",Table1[[#This Row],[Duration]]&lt;=60,"30 to 60 min",Table1[[#This Row],[Duration]]&lt;=120,"1to2 hours",TRUE,"More than 2 hours")</f>
        <v>30 to 60 min</v>
      </c>
      <c r="J110" s="1">
        <f>ROUND(Table1[[#This Row],[Satisfaction Rating]],0)</f>
        <v>3</v>
      </c>
    </row>
    <row r="111" spans="1:10">
      <c r="A111" s="1" t="s">
        <v>149</v>
      </c>
      <c r="B111" s="1" t="s">
        <v>86</v>
      </c>
      <c r="C111" s="1">
        <v>134</v>
      </c>
      <c r="D111" s="1" t="s">
        <v>17</v>
      </c>
      <c r="E111" s="2">
        <v>46196</v>
      </c>
      <c r="F111" s="1">
        <v>149</v>
      </c>
      <c r="G111" s="1">
        <v>1.6</v>
      </c>
      <c r="H111" s="1" t="str">
        <f>TEXT(Table1[[#This Row],[Date of Call]],"DDDD")</f>
        <v>Tuesday</v>
      </c>
      <c r="I111" s="1" t="str" cm="1">
        <f t="array" ref="I111">_xlfn.IFS(Table1[[#This Row],[Duration]]&lt;=10,"Under 10 mins",Table1[[#This Row],[Duration]]&lt;=30,"10 to 30 mins",Table1[[#This Row],[Duration]]&lt;=60,"30 to 60 min",Table1[[#This Row],[Duration]]&lt;=120,"1to2 hours",TRUE,"More than 2 hours")</f>
        <v>More than 2 hours</v>
      </c>
      <c r="J111" s="1">
        <f>ROUND(Table1[[#This Row],[Satisfaction Rating]],0)</f>
        <v>2</v>
      </c>
    </row>
    <row r="112" spans="1:10">
      <c r="A112" s="1" t="s">
        <v>150</v>
      </c>
      <c r="B112" s="1" t="s">
        <v>86</v>
      </c>
      <c r="C112" s="1">
        <v>167</v>
      </c>
      <c r="D112" s="1" t="s">
        <v>17</v>
      </c>
      <c r="E112" s="2">
        <v>46165</v>
      </c>
      <c r="F112" s="1">
        <v>12</v>
      </c>
      <c r="G112" s="1">
        <v>3.1</v>
      </c>
      <c r="H112" s="1" t="str">
        <f>TEXT(Table1[[#This Row],[Date of Call]],"DDDD")</f>
        <v>Saturday</v>
      </c>
      <c r="I112" s="1" t="str" cm="1">
        <f t="array" ref="I112">_xlfn.IFS(Table1[[#This Row],[Duration]]&lt;=10,"Under 10 mins",Table1[[#This Row],[Duration]]&lt;=30,"10 to 30 mins",Table1[[#This Row],[Duration]]&lt;=60,"30 to 60 min",Table1[[#This Row],[Duration]]&lt;=120,"1to2 hours",TRUE,"More than 2 hours")</f>
        <v>More than 2 hours</v>
      </c>
      <c r="J112" s="1">
        <f>ROUND(Table1[[#This Row],[Satisfaction Rating]],0)</f>
        <v>3</v>
      </c>
    </row>
    <row r="113" spans="1:10">
      <c r="A113" s="1" t="s">
        <v>151</v>
      </c>
      <c r="B113" s="1" t="s">
        <v>44</v>
      </c>
      <c r="C113" s="1">
        <v>78</v>
      </c>
      <c r="D113" s="1" t="s">
        <v>37</v>
      </c>
      <c r="E113" s="2">
        <v>46136</v>
      </c>
      <c r="F113" s="1">
        <v>150</v>
      </c>
      <c r="G113" s="1">
        <v>1.4</v>
      </c>
      <c r="H113" s="1" t="str">
        <f>TEXT(Table1[[#This Row],[Date of Call]],"DDDD")</f>
        <v>Friday</v>
      </c>
      <c r="I113" s="1" t="str" cm="1">
        <f t="array" ref="I113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113" s="1">
        <f>ROUND(Table1[[#This Row],[Satisfaction Rating]],0)</f>
        <v>1</v>
      </c>
    </row>
    <row r="114" spans="1:10">
      <c r="A114" s="1" t="s">
        <v>152</v>
      </c>
      <c r="B114" s="1" t="s">
        <v>73</v>
      </c>
      <c r="C114" s="1">
        <v>167</v>
      </c>
      <c r="D114" s="1" t="s">
        <v>17</v>
      </c>
      <c r="E114" s="2">
        <v>46136</v>
      </c>
      <c r="F114" s="1">
        <v>166</v>
      </c>
      <c r="G114" s="1">
        <v>4.3</v>
      </c>
      <c r="H114" s="1" t="str">
        <f>TEXT(Table1[[#This Row],[Date of Call]],"DDDD")</f>
        <v>Friday</v>
      </c>
      <c r="I114" s="1" t="str" cm="1">
        <f t="array" ref="I114">_xlfn.IFS(Table1[[#This Row],[Duration]]&lt;=10,"Under 10 mins",Table1[[#This Row],[Duration]]&lt;=30,"10 to 30 mins",Table1[[#This Row],[Duration]]&lt;=60,"30 to 60 min",Table1[[#This Row],[Duration]]&lt;=120,"1to2 hours",TRUE,"More than 2 hours")</f>
        <v>More than 2 hours</v>
      </c>
      <c r="J114" s="1">
        <f>ROUND(Table1[[#This Row],[Satisfaction Rating]],0)</f>
        <v>4</v>
      </c>
    </row>
    <row r="115" spans="1:10">
      <c r="A115" s="1" t="s">
        <v>153</v>
      </c>
      <c r="B115" s="1" t="s">
        <v>71</v>
      </c>
      <c r="C115" s="1">
        <v>177</v>
      </c>
      <c r="D115" s="1" t="s">
        <v>37</v>
      </c>
      <c r="E115" s="2">
        <v>46136</v>
      </c>
      <c r="F115" s="1">
        <v>52</v>
      </c>
      <c r="G115" s="1">
        <v>3.8</v>
      </c>
      <c r="H115" s="1" t="str">
        <f>TEXT(Table1[[#This Row],[Date of Call]],"DDDD")</f>
        <v>Friday</v>
      </c>
      <c r="I115" s="1" t="str" cm="1">
        <f t="array" ref="I115">_xlfn.IFS(Table1[[#This Row],[Duration]]&lt;=10,"Under 10 mins",Table1[[#This Row],[Duration]]&lt;=30,"10 to 30 mins",Table1[[#This Row],[Duration]]&lt;=60,"30 to 60 min",Table1[[#This Row],[Duration]]&lt;=120,"1to2 hours",TRUE,"More than 2 hours")</f>
        <v>More than 2 hours</v>
      </c>
      <c r="J115" s="1">
        <f>ROUND(Table1[[#This Row],[Satisfaction Rating]],0)</f>
        <v>4</v>
      </c>
    </row>
    <row r="116" spans="1:10">
      <c r="A116" s="1" t="s">
        <v>154</v>
      </c>
      <c r="B116" s="1" t="s">
        <v>50</v>
      </c>
      <c r="C116" s="1">
        <v>83</v>
      </c>
      <c r="D116" s="1" t="s">
        <v>37</v>
      </c>
      <c r="E116" s="2">
        <v>46077</v>
      </c>
      <c r="F116" s="1">
        <v>155</v>
      </c>
      <c r="G116" s="1">
        <v>4.5</v>
      </c>
      <c r="H116" s="1" t="str">
        <f>TEXT(Table1[[#This Row],[Date of Call]],"DDDD")</f>
        <v>Tuesday</v>
      </c>
      <c r="I116" s="1" t="str" cm="1">
        <f t="array" ref="I116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116" s="1">
        <f>ROUND(Table1[[#This Row],[Satisfaction Rating]],0)</f>
        <v>5</v>
      </c>
    </row>
    <row r="117" spans="1:10">
      <c r="A117" s="1" t="s">
        <v>155</v>
      </c>
      <c r="B117" s="1" t="s">
        <v>40</v>
      </c>
      <c r="C117" s="1">
        <v>145</v>
      </c>
      <c r="D117" s="1" t="s">
        <v>27</v>
      </c>
      <c r="E117" s="2">
        <v>46046</v>
      </c>
      <c r="F117" s="1">
        <v>22</v>
      </c>
      <c r="G117" s="1">
        <v>4.4000000000000004</v>
      </c>
      <c r="H117" s="1" t="str">
        <f>TEXT(Table1[[#This Row],[Date of Call]],"DDDD")</f>
        <v>Saturday</v>
      </c>
      <c r="I117" s="1" t="str" cm="1">
        <f t="array" ref="I117">_xlfn.IFS(Table1[[#This Row],[Duration]]&lt;=10,"Under 10 mins",Table1[[#This Row],[Duration]]&lt;=30,"10 to 30 mins",Table1[[#This Row],[Duration]]&lt;=60,"30 to 60 min",Table1[[#This Row],[Duration]]&lt;=120,"1to2 hours",TRUE,"More than 2 hours")</f>
        <v>More than 2 hours</v>
      </c>
      <c r="J117" s="1">
        <f>ROUND(Table1[[#This Row],[Satisfaction Rating]],0)</f>
        <v>4</v>
      </c>
    </row>
    <row r="118" spans="1:10">
      <c r="A118" s="1" t="s">
        <v>156</v>
      </c>
      <c r="B118" s="1" t="s">
        <v>59</v>
      </c>
      <c r="C118" s="1">
        <v>153</v>
      </c>
      <c r="D118" s="1" t="s">
        <v>37</v>
      </c>
      <c r="E118" s="2">
        <v>46046</v>
      </c>
      <c r="F118" s="1">
        <v>70</v>
      </c>
      <c r="G118" s="1">
        <v>1.7</v>
      </c>
      <c r="H118" s="1" t="str">
        <f>TEXT(Table1[[#This Row],[Date of Call]],"DDDD")</f>
        <v>Saturday</v>
      </c>
      <c r="I118" s="1" t="str" cm="1">
        <f t="array" ref="I118">_xlfn.IFS(Table1[[#This Row],[Duration]]&lt;=10,"Under 10 mins",Table1[[#This Row],[Duration]]&lt;=30,"10 to 30 mins",Table1[[#This Row],[Duration]]&lt;=60,"30 to 60 min",Table1[[#This Row],[Duration]]&lt;=120,"1to2 hours",TRUE,"More than 2 hours")</f>
        <v>More than 2 hours</v>
      </c>
      <c r="J118" s="1">
        <f>ROUND(Table1[[#This Row],[Satisfaction Rating]],0)</f>
        <v>2</v>
      </c>
    </row>
    <row r="119" spans="1:10">
      <c r="A119" s="1" t="s">
        <v>157</v>
      </c>
      <c r="B119" s="1" t="s">
        <v>42</v>
      </c>
      <c r="C119" s="1">
        <v>79</v>
      </c>
      <c r="D119" s="1" t="s">
        <v>37</v>
      </c>
      <c r="E119" s="2">
        <v>46046</v>
      </c>
      <c r="F119" s="1">
        <v>68</v>
      </c>
      <c r="G119" s="1">
        <v>4.8</v>
      </c>
      <c r="H119" s="1" t="str">
        <f>TEXT(Table1[[#This Row],[Date of Call]],"DDDD")</f>
        <v>Saturday</v>
      </c>
      <c r="I119" s="1" t="str" cm="1">
        <f t="array" ref="I119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119" s="1">
        <f>ROUND(Table1[[#This Row],[Satisfaction Rating]],0)</f>
        <v>5</v>
      </c>
    </row>
    <row r="120" spans="1:10">
      <c r="A120" s="1" t="s">
        <v>158</v>
      </c>
      <c r="B120" s="1" t="s">
        <v>40</v>
      </c>
      <c r="C120" s="1">
        <v>175</v>
      </c>
      <c r="D120" s="1" t="s">
        <v>13</v>
      </c>
      <c r="E120" s="2">
        <v>46197</v>
      </c>
      <c r="F120" s="1">
        <v>118</v>
      </c>
      <c r="G120" s="1">
        <v>3.4</v>
      </c>
      <c r="H120" s="1" t="str">
        <f>TEXT(Table1[[#This Row],[Date of Call]],"DDDD")</f>
        <v>Wednesday</v>
      </c>
      <c r="I120" s="1" t="str" cm="1">
        <f t="array" ref="I120">_xlfn.IFS(Table1[[#This Row],[Duration]]&lt;=10,"Under 10 mins",Table1[[#This Row],[Duration]]&lt;=30,"10 to 30 mins",Table1[[#This Row],[Duration]]&lt;=60,"30 to 60 min",Table1[[#This Row],[Duration]]&lt;=120,"1to2 hours",TRUE,"More than 2 hours")</f>
        <v>More than 2 hours</v>
      </c>
      <c r="J120" s="1">
        <f>ROUND(Table1[[#This Row],[Satisfaction Rating]],0)</f>
        <v>3</v>
      </c>
    </row>
    <row r="121" spans="1:10">
      <c r="A121" s="1" t="s">
        <v>159</v>
      </c>
      <c r="B121" s="1" t="s">
        <v>73</v>
      </c>
      <c r="C121" s="1">
        <v>17</v>
      </c>
      <c r="D121" s="1" t="s">
        <v>37</v>
      </c>
      <c r="E121" s="2">
        <v>46197</v>
      </c>
      <c r="F121" s="1">
        <v>147</v>
      </c>
      <c r="G121" s="1">
        <v>4</v>
      </c>
      <c r="H121" s="1" t="str">
        <f>TEXT(Table1[[#This Row],[Date of Call]],"DDDD")</f>
        <v>Wednesday</v>
      </c>
      <c r="I121" s="1" t="str" cm="1">
        <f t="array" ref="I121">_xlfn.IFS(Table1[[#This Row],[Duration]]&lt;=10,"Under 10 mins",Table1[[#This Row],[Duration]]&lt;=30,"10 to 30 mins",Table1[[#This Row],[Duration]]&lt;=60,"30 to 60 min",Table1[[#This Row],[Duration]]&lt;=120,"1to2 hours",TRUE,"More than 2 hours")</f>
        <v>10 to 30 mins</v>
      </c>
      <c r="J121" s="1">
        <f>ROUND(Table1[[#This Row],[Satisfaction Rating]],0)</f>
        <v>4</v>
      </c>
    </row>
    <row r="122" spans="1:10">
      <c r="A122" s="1" t="s">
        <v>160</v>
      </c>
      <c r="B122" s="1" t="s">
        <v>88</v>
      </c>
      <c r="C122" s="1">
        <v>166</v>
      </c>
      <c r="D122" s="1" t="s">
        <v>17</v>
      </c>
      <c r="E122" s="2">
        <v>46105</v>
      </c>
      <c r="F122" s="1">
        <v>72</v>
      </c>
      <c r="G122" s="1">
        <v>4.3</v>
      </c>
      <c r="H122" s="1" t="str">
        <f>TEXT(Table1[[#This Row],[Date of Call]],"DDDD")</f>
        <v>Tuesday</v>
      </c>
      <c r="I122" s="1" t="str" cm="1">
        <f t="array" ref="I122">_xlfn.IFS(Table1[[#This Row],[Duration]]&lt;=10,"Under 10 mins",Table1[[#This Row],[Duration]]&lt;=30,"10 to 30 mins",Table1[[#This Row],[Duration]]&lt;=60,"30 to 60 min",Table1[[#This Row],[Duration]]&lt;=120,"1to2 hours",TRUE,"More than 2 hours")</f>
        <v>More than 2 hours</v>
      </c>
      <c r="J122" s="1">
        <f>ROUND(Table1[[#This Row],[Satisfaction Rating]],0)</f>
        <v>4</v>
      </c>
    </row>
    <row r="123" spans="1:10">
      <c r="A123" s="1" t="s">
        <v>161</v>
      </c>
      <c r="B123" s="1" t="s">
        <v>26</v>
      </c>
      <c r="C123" s="1">
        <v>50</v>
      </c>
      <c r="D123" s="1" t="s">
        <v>13</v>
      </c>
      <c r="E123" s="2">
        <v>46166</v>
      </c>
      <c r="F123" s="1">
        <v>147</v>
      </c>
      <c r="G123" s="1">
        <v>2.1</v>
      </c>
      <c r="H123" s="1" t="str">
        <f>TEXT(Table1[[#This Row],[Date of Call]],"DDDD")</f>
        <v>Sunday</v>
      </c>
      <c r="I123" s="1" t="str" cm="1">
        <f t="array" ref="I123">_xlfn.IFS(Table1[[#This Row],[Duration]]&lt;=10,"Under 10 mins",Table1[[#This Row],[Duration]]&lt;=30,"10 to 30 mins",Table1[[#This Row],[Duration]]&lt;=60,"30 to 60 min",Table1[[#This Row],[Duration]]&lt;=120,"1to2 hours",TRUE,"More than 2 hours")</f>
        <v>30 to 60 min</v>
      </c>
      <c r="J123" s="1">
        <f>ROUND(Table1[[#This Row],[Satisfaction Rating]],0)</f>
        <v>2</v>
      </c>
    </row>
    <row r="124" spans="1:10">
      <c r="A124" s="1" t="s">
        <v>162</v>
      </c>
      <c r="B124" s="1" t="s">
        <v>127</v>
      </c>
      <c r="C124" s="1">
        <v>136</v>
      </c>
      <c r="D124" s="1" t="s">
        <v>27</v>
      </c>
      <c r="E124" s="2">
        <v>46137</v>
      </c>
      <c r="F124" s="1">
        <v>14</v>
      </c>
      <c r="G124" s="1">
        <v>1.4</v>
      </c>
      <c r="H124" s="1" t="str">
        <f>TEXT(Table1[[#This Row],[Date of Call]],"DDDD")</f>
        <v>Saturday</v>
      </c>
      <c r="I124" s="1" t="str" cm="1">
        <f t="array" ref="I124">_xlfn.IFS(Table1[[#This Row],[Duration]]&lt;=10,"Under 10 mins",Table1[[#This Row],[Duration]]&lt;=30,"10 to 30 mins",Table1[[#This Row],[Duration]]&lt;=60,"30 to 60 min",Table1[[#This Row],[Duration]]&lt;=120,"1to2 hours",TRUE,"More than 2 hours")</f>
        <v>More than 2 hours</v>
      </c>
      <c r="J124" s="1">
        <f>ROUND(Table1[[#This Row],[Satisfaction Rating]],0)</f>
        <v>1</v>
      </c>
    </row>
    <row r="125" spans="1:10">
      <c r="A125" s="1" t="s">
        <v>163</v>
      </c>
      <c r="B125" s="1" t="s">
        <v>73</v>
      </c>
      <c r="C125" s="1">
        <v>62</v>
      </c>
      <c r="D125" s="1" t="s">
        <v>13</v>
      </c>
      <c r="E125" s="2">
        <v>46078</v>
      </c>
      <c r="F125" s="1">
        <v>199</v>
      </c>
      <c r="G125" s="1">
        <v>2.9</v>
      </c>
      <c r="H125" s="1" t="str">
        <f>TEXT(Table1[[#This Row],[Date of Call]],"DDDD")</f>
        <v>Wednesday</v>
      </c>
      <c r="I125" s="1" t="str" cm="1">
        <f t="array" ref="I125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125" s="1">
        <f>ROUND(Table1[[#This Row],[Satisfaction Rating]],0)</f>
        <v>3</v>
      </c>
    </row>
    <row r="126" spans="1:10">
      <c r="A126" s="1" t="s">
        <v>164</v>
      </c>
      <c r="B126" s="1" t="s">
        <v>86</v>
      </c>
      <c r="C126" s="1">
        <v>22</v>
      </c>
      <c r="D126" s="1" t="s">
        <v>37</v>
      </c>
      <c r="E126" s="2">
        <v>46106</v>
      </c>
      <c r="F126" s="1">
        <v>24</v>
      </c>
      <c r="G126" s="1">
        <v>2.2000000000000002</v>
      </c>
      <c r="H126" s="1" t="str">
        <f>TEXT(Table1[[#This Row],[Date of Call]],"DDDD")</f>
        <v>Wednesday</v>
      </c>
      <c r="I126" s="1" t="str" cm="1">
        <f t="array" ref="I126">_xlfn.IFS(Table1[[#This Row],[Duration]]&lt;=10,"Under 10 mins",Table1[[#This Row],[Duration]]&lt;=30,"10 to 30 mins",Table1[[#This Row],[Duration]]&lt;=60,"30 to 60 min",Table1[[#This Row],[Duration]]&lt;=120,"1to2 hours",TRUE,"More than 2 hours")</f>
        <v>10 to 30 mins</v>
      </c>
      <c r="J126" s="1">
        <f>ROUND(Table1[[#This Row],[Satisfaction Rating]],0)</f>
        <v>2</v>
      </c>
    </row>
    <row r="127" spans="1:10">
      <c r="A127" s="1" t="s">
        <v>165</v>
      </c>
      <c r="B127" s="1" t="s">
        <v>57</v>
      </c>
      <c r="C127" s="1">
        <v>115</v>
      </c>
      <c r="D127" s="1" t="s">
        <v>22</v>
      </c>
      <c r="E127" s="2">
        <v>46167</v>
      </c>
      <c r="F127" s="1">
        <v>179</v>
      </c>
      <c r="G127" s="1">
        <v>1.1000000000000001</v>
      </c>
      <c r="H127" s="1" t="str">
        <f>TEXT(Table1[[#This Row],[Date of Call]],"DDDD")</f>
        <v>Monday</v>
      </c>
      <c r="I127" s="1" t="str" cm="1">
        <f t="array" ref="I127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127" s="1">
        <f>ROUND(Table1[[#This Row],[Satisfaction Rating]],0)</f>
        <v>1</v>
      </c>
    </row>
    <row r="128" spans="1:10">
      <c r="A128" s="1" t="s">
        <v>166</v>
      </c>
      <c r="B128" s="1" t="s">
        <v>127</v>
      </c>
      <c r="C128" s="1">
        <v>148</v>
      </c>
      <c r="D128" s="1" t="s">
        <v>27</v>
      </c>
      <c r="E128" s="2">
        <v>46138</v>
      </c>
      <c r="F128" s="1">
        <v>123</v>
      </c>
      <c r="G128" s="1">
        <v>2.2000000000000002</v>
      </c>
      <c r="H128" s="1" t="str">
        <f>TEXT(Table1[[#This Row],[Date of Call]],"DDDD")</f>
        <v>Sunday</v>
      </c>
      <c r="I128" s="1" t="str" cm="1">
        <f t="array" ref="I128">_xlfn.IFS(Table1[[#This Row],[Duration]]&lt;=10,"Under 10 mins",Table1[[#This Row],[Duration]]&lt;=30,"10 to 30 mins",Table1[[#This Row],[Duration]]&lt;=60,"30 to 60 min",Table1[[#This Row],[Duration]]&lt;=120,"1to2 hours",TRUE,"More than 2 hours")</f>
        <v>More than 2 hours</v>
      </c>
      <c r="J128" s="1">
        <f>ROUND(Table1[[#This Row],[Satisfaction Rating]],0)</f>
        <v>2</v>
      </c>
    </row>
    <row r="129" spans="1:10">
      <c r="A129" s="1" t="s">
        <v>167</v>
      </c>
      <c r="B129" s="1" t="s">
        <v>86</v>
      </c>
      <c r="C129" s="1">
        <v>42</v>
      </c>
      <c r="D129" s="1" t="s">
        <v>27</v>
      </c>
      <c r="E129" s="2">
        <v>46079</v>
      </c>
      <c r="F129" s="1">
        <v>55</v>
      </c>
      <c r="G129" s="1">
        <v>4.2</v>
      </c>
      <c r="H129" s="1" t="str">
        <f>TEXT(Table1[[#This Row],[Date of Call]],"DDDD")</f>
        <v>Thursday</v>
      </c>
      <c r="I129" s="1" t="str" cm="1">
        <f t="array" ref="I129">_xlfn.IFS(Table1[[#This Row],[Duration]]&lt;=10,"Under 10 mins",Table1[[#This Row],[Duration]]&lt;=30,"10 to 30 mins",Table1[[#This Row],[Duration]]&lt;=60,"30 to 60 min",Table1[[#This Row],[Duration]]&lt;=120,"1to2 hours",TRUE,"More than 2 hours")</f>
        <v>30 to 60 min</v>
      </c>
      <c r="J129" s="1">
        <f>ROUND(Table1[[#This Row],[Satisfaction Rating]],0)</f>
        <v>4</v>
      </c>
    </row>
    <row r="130" spans="1:10">
      <c r="A130" s="1" t="s">
        <v>168</v>
      </c>
      <c r="B130" s="1" t="s">
        <v>15</v>
      </c>
      <c r="C130" s="1">
        <v>119</v>
      </c>
      <c r="D130" s="1" t="s">
        <v>27</v>
      </c>
      <c r="E130" s="2">
        <v>46199</v>
      </c>
      <c r="F130" s="1">
        <v>162</v>
      </c>
      <c r="G130" s="1">
        <v>2.9</v>
      </c>
      <c r="H130" s="1" t="str">
        <f>TEXT(Table1[[#This Row],[Date of Call]],"DDDD")</f>
        <v>Friday</v>
      </c>
      <c r="I130" s="1" t="str" cm="1">
        <f t="array" ref="I130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130" s="1">
        <f>ROUND(Table1[[#This Row],[Satisfaction Rating]],0)</f>
        <v>3</v>
      </c>
    </row>
    <row r="131" spans="1:10">
      <c r="A131" s="1" t="s">
        <v>169</v>
      </c>
      <c r="B131" s="1" t="s">
        <v>35</v>
      </c>
      <c r="C131" s="1">
        <v>41</v>
      </c>
      <c r="D131" s="1" t="s">
        <v>13</v>
      </c>
      <c r="E131" s="2">
        <v>46107</v>
      </c>
      <c r="F131" s="1">
        <v>115</v>
      </c>
      <c r="G131" s="1">
        <v>3.8</v>
      </c>
      <c r="H131" s="1" t="str">
        <f>TEXT(Table1[[#This Row],[Date of Call]],"DDDD")</f>
        <v>Thursday</v>
      </c>
      <c r="I131" s="1" t="str" cm="1">
        <f t="array" ref="I131">_xlfn.IFS(Table1[[#This Row],[Duration]]&lt;=10,"Under 10 mins",Table1[[#This Row],[Duration]]&lt;=30,"10 to 30 mins",Table1[[#This Row],[Duration]]&lt;=60,"30 to 60 min",Table1[[#This Row],[Duration]]&lt;=120,"1to2 hours",TRUE,"More than 2 hours")</f>
        <v>30 to 60 min</v>
      </c>
      <c r="J131" s="1">
        <f>ROUND(Table1[[#This Row],[Satisfaction Rating]],0)</f>
        <v>4</v>
      </c>
    </row>
    <row r="132" spans="1:10">
      <c r="A132" s="1" t="s">
        <v>170</v>
      </c>
      <c r="B132" s="1" t="s">
        <v>50</v>
      </c>
      <c r="C132" s="1">
        <v>59</v>
      </c>
      <c r="D132" s="1" t="s">
        <v>22</v>
      </c>
      <c r="E132" s="2">
        <v>46168</v>
      </c>
      <c r="F132" s="1">
        <v>87</v>
      </c>
      <c r="G132" s="1">
        <v>2.6</v>
      </c>
      <c r="H132" s="1" t="str">
        <f>TEXT(Table1[[#This Row],[Date of Call]],"DDDD")</f>
        <v>Tuesday</v>
      </c>
      <c r="I132" s="1" t="str" cm="1">
        <f t="array" ref="I132">_xlfn.IFS(Table1[[#This Row],[Duration]]&lt;=10,"Under 10 mins",Table1[[#This Row],[Duration]]&lt;=30,"10 to 30 mins",Table1[[#This Row],[Duration]]&lt;=60,"30 to 60 min",Table1[[#This Row],[Duration]]&lt;=120,"1to2 hours",TRUE,"More than 2 hours")</f>
        <v>30 to 60 min</v>
      </c>
      <c r="J132" s="1">
        <f>ROUND(Table1[[#This Row],[Satisfaction Rating]],0)</f>
        <v>3</v>
      </c>
    </row>
    <row r="133" spans="1:10">
      <c r="A133" s="1" t="s">
        <v>171</v>
      </c>
      <c r="B133" s="1" t="s">
        <v>19</v>
      </c>
      <c r="C133" s="1">
        <v>124</v>
      </c>
      <c r="D133" s="1" t="s">
        <v>17</v>
      </c>
      <c r="E133" s="2">
        <v>46168</v>
      </c>
      <c r="F133" s="1">
        <v>168</v>
      </c>
      <c r="G133" s="1">
        <v>1.2</v>
      </c>
      <c r="H133" s="1" t="str">
        <f>TEXT(Table1[[#This Row],[Date of Call]],"DDDD")</f>
        <v>Tuesday</v>
      </c>
      <c r="I133" s="1" t="str" cm="1">
        <f t="array" ref="I133">_xlfn.IFS(Table1[[#This Row],[Duration]]&lt;=10,"Under 10 mins",Table1[[#This Row],[Duration]]&lt;=30,"10 to 30 mins",Table1[[#This Row],[Duration]]&lt;=60,"30 to 60 min",Table1[[#This Row],[Duration]]&lt;=120,"1to2 hours",TRUE,"More than 2 hours")</f>
        <v>More than 2 hours</v>
      </c>
      <c r="J133" s="1">
        <f>ROUND(Table1[[#This Row],[Satisfaction Rating]],0)</f>
        <v>1</v>
      </c>
    </row>
    <row r="134" spans="1:10">
      <c r="A134" s="1" t="s">
        <v>172</v>
      </c>
      <c r="B134" s="1" t="s">
        <v>15</v>
      </c>
      <c r="C134" s="1">
        <v>114</v>
      </c>
      <c r="D134" s="1" t="s">
        <v>17</v>
      </c>
      <c r="E134" s="2">
        <v>46139</v>
      </c>
      <c r="F134" s="1">
        <v>83</v>
      </c>
      <c r="G134" s="1">
        <v>2.7</v>
      </c>
      <c r="H134" s="1" t="str">
        <f>TEXT(Table1[[#This Row],[Date of Call]],"DDDD")</f>
        <v>Monday</v>
      </c>
      <c r="I134" s="1" t="str" cm="1">
        <f t="array" ref="I134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134" s="1">
        <f>ROUND(Table1[[#This Row],[Satisfaction Rating]],0)</f>
        <v>3</v>
      </c>
    </row>
    <row r="135" spans="1:10">
      <c r="A135" s="1" t="s">
        <v>173</v>
      </c>
      <c r="B135" s="1" t="s">
        <v>50</v>
      </c>
      <c r="C135" s="1">
        <v>98</v>
      </c>
      <c r="D135" s="1" t="s">
        <v>13</v>
      </c>
      <c r="E135" s="2">
        <v>46139</v>
      </c>
      <c r="F135" s="1">
        <v>93</v>
      </c>
      <c r="G135" s="1">
        <v>2.4</v>
      </c>
      <c r="H135" s="1" t="str">
        <f>TEXT(Table1[[#This Row],[Date of Call]],"DDDD")</f>
        <v>Monday</v>
      </c>
      <c r="I135" s="1" t="str" cm="1">
        <f t="array" ref="I135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135" s="1">
        <f>ROUND(Table1[[#This Row],[Satisfaction Rating]],0)</f>
        <v>2</v>
      </c>
    </row>
    <row r="136" spans="1:10">
      <c r="A136" s="1" t="s">
        <v>174</v>
      </c>
      <c r="B136" s="1" t="s">
        <v>175</v>
      </c>
      <c r="C136" s="1">
        <v>154</v>
      </c>
      <c r="D136" s="1" t="s">
        <v>27</v>
      </c>
      <c r="E136" s="2">
        <v>46139</v>
      </c>
      <c r="F136" s="1">
        <v>92</v>
      </c>
      <c r="G136" s="1">
        <v>4.5</v>
      </c>
      <c r="H136" s="1" t="str">
        <f>TEXT(Table1[[#This Row],[Date of Call]],"DDDD")</f>
        <v>Monday</v>
      </c>
      <c r="I136" s="1" t="str" cm="1">
        <f t="array" ref="I136">_xlfn.IFS(Table1[[#This Row],[Duration]]&lt;=10,"Under 10 mins",Table1[[#This Row],[Duration]]&lt;=30,"10 to 30 mins",Table1[[#This Row],[Duration]]&lt;=60,"30 to 60 min",Table1[[#This Row],[Duration]]&lt;=120,"1to2 hours",TRUE,"More than 2 hours")</f>
        <v>More than 2 hours</v>
      </c>
      <c r="J136" s="1">
        <f>ROUND(Table1[[#This Row],[Satisfaction Rating]],0)</f>
        <v>5</v>
      </c>
    </row>
    <row r="137" spans="1:10">
      <c r="A137" s="1" t="s">
        <v>176</v>
      </c>
      <c r="B137" s="1" t="s">
        <v>175</v>
      </c>
      <c r="C137" s="1">
        <v>75</v>
      </c>
      <c r="D137" s="1" t="s">
        <v>17</v>
      </c>
      <c r="E137" s="2">
        <v>46080</v>
      </c>
      <c r="F137" s="1">
        <v>60</v>
      </c>
      <c r="G137" s="1">
        <v>1.6</v>
      </c>
      <c r="H137" s="1" t="str">
        <f>TEXT(Table1[[#This Row],[Date of Call]],"DDDD")</f>
        <v>Friday</v>
      </c>
      <c r="I137" s="1" t="str" cm="1">
        <f t="array" ref="I137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137" s="1">
        <f>ROUND(Table1[[#This Row],[Satisfaction Rating]],0)</f>
        <v>2</v>
      </c>
    </row>
    <row r="138" spans="1:10">
      <c r="A138" s="1" t="s">
        <v>177</v>
      </c>
      <c r="B138" s="1" t="s">
        <v>40</v>
      </c>
      <c r="C138" s="1">
        <v>70</v>
      </c>
      <c r="D138" s="1" t="s">
        <v>17</v>
      </c>
      <c r="E138" s="2">
        <v>46049</v>
      </c>
      <c r="F138" s="1">
        <v>33</v>
      </c>
      <c r="G138" s="1">
        <v>2.5</v>
      </c>
      <c r="H138" s="1" t="str">
        <f>TEXT(Table1[[#This Row],[Date of Call]],"DDDD")</f>
        <v>Tuesday</v>
      </c>
      <c r="I138" s="1" t="str" cm="1">
        <f t="array" ref="I138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138" s="1">
        <f>ROUND(Table1[[#This Row],[Satisfaction Rating]],0)</f>
        <v>3</v>
      </c>
    </row>
    <row r="139" spans="1:10">
      <c r="A139" s="1" t="s">
        <v>178</v>
      </c>
      <c r="B139" s="1" t="s">
        <v>101</v>
      </c>
      <c r="C139" s="1">
        <v>177</v>
      </c>
      <c r="D139" s="1" t="s">
        <v>22</v>
      </c>
      <c r="E139" s="2">
        <v>46108</v>
      </c>
      <c r="F139" s="1">
        <v>33</v>
      </c>
      <c r="G139" s="1">
        <v>4.3</v>
      </c>
      <c r="H139" s="1" t="str">
        <f>TEXT(Table1[[#This Row],[Date of Call]],"DDDD")</f>
        <v>Friday</v>
      </c>
      <c r="I139" s="1" t="str" cm="1">
        <f t="array" ref="I139">_xlfn.IFS(Table1[[#This Row],[Duration]]&lt;=10,"Under 10 mins",Table1[[#This Row],[Duration]]&lt;=30,"10 to 30 mins",Table1[[#This Row],[Duration]]&lt;=60,"30 to 60 min",Table1[[#This Row],[Duration]]&lt;=120,"1to2 hours",TRUE,"More than 2 hours")</f>
        <v>More than 2 hours</v>
      </c>
      <c r="J139" s="1">
        <f>ROUND(Table1[[#This Row],[Satisfaction Rating]],0)</f>
        <v>4</v>
      </c>
    </row>
    <row r="140" spans="1:10">
      <c r="A140" s="1" t="s">
        <v>179</v>
      </c>
      <c r="B140" s="1" t="s">
        <v>44</v>
      </c>
      <c r="C140" s="1">
        <v>178</v>
      </c>
      <c r="D140" s="1" t="s">
        <v>17</v>
      </c>
      <c r="E140" s="2">
        <v>46140</v>
      </c>
      <c r="F140" s="1">
        <v>75</v>
      </c>
      <c r="G140" s="1">
        <v>3.7</v>
      </c>
      <c r="H140" s="1" t="str">
        <f>TEXT(Table1[[#This Row],[Date of Call]],"DDDD")</f>
        <v>Tuesday</v>
      </c>
      <c r="I140" s="1" t="str" cm="1">
        <f t="array" ref="I140">_xlfn.IFS(Table1[[#This Row],[Duration]]&lt;=10,"Under 10 mins",Table1[[#This Row],[Duration]]&lt;=30,"10 to 30 mins",Table1[[#This Row],[Duration]]&lt;=60,"30 to 60 min",Table1[[#This Row],[Duration]]&lt;=120,"1to2 hours",TRUE,"More than 2 hours")</f>
        <v>More than 2 hours</v>
      </c>
      <c r="J140" s="1">
        <f>ROUND(Table1[[#This Row],[Satisfaction Rating]],0)</f>
        <v>4</v>
      </c>
    </row>
    <row r="141" spans="1:10">
      <c r="A141" s="1" t="s">
        <v>180</v>
      </c>
      <c r="B141" s="1" t="s">
        <v>35</v>
      </c>
      <c r="C141" s="1">
        <v>98</v>
      </c>
      <c r="D141" s="1" t="s">
        <v>37</v>
      </c>
      <c r="E141" s="2">
        <v>46081</v>
      </c>
      <c r="F141" s="1">
        <v>18</v>
      </c>
      <c r="G141" s="1">
        <v>4.2</v>
      </c>
      <c r="H141" s="1" t="str">
        <f>TEXT(Table1[[#This Row],[Date of Call]],"DDDD")</f>
        <v>Saturday</v>
      </c>
      <c r="I141" s="1" t="str" cm="1">
        <f t="array" ref="I141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141" s="1">
        <f>ROUND(Table1[[#This Row],[Satisfaction Rating]],0)</f>
        <v>4</v>
      </c>
    </row>
    <row r="142" spans="1:10">
      <c r="A142" s="1" t="s">
        <v>181</v>
      </c>
      <c r="B142" s="1" t="s">
        <v>15</v>
      </c>
      <c r="C142" s="1">
        <v>33</v>
      </c>
      <c r="D142" s="1" t="s">
        <v>37</v>
      </c>
      <c r="E142" s="2">
        <v>46081</v>
      </c>
      <c r="F142" s="1">
        <v>27</v>
      </c>
      <c r="G142" s="1">
        <v>4.5999999999999996</v>
      </c>
      <c r="H142" s="1" t="str">
        <f>TEXT(Table1[[#This Row],[Date of Call]],"DDDD")</f>
        <v>Saturday</v>
      </c>
      <c r="I142" s="1" t="str" cm="1">
        <f t="array" ref="I142">_xlfn.IFS(Table1[[#This Row],[Duration]]&lt;=10,"Under 10 mins",Table1[[#This Row],[Duration]]&lt;=30,"10 to 30 mins",Table1[[#This Row],[Duration]]&lt;=60,"30 to 60 min",Table1[[#This Row],[Duration]]&lt;=120,"1to2 hours",TRUE,"More than 2 hours")</f>
        <v>30 to 60 min</v>
      </c>
      <c r="J142" s="1">
        <f>ROUND(Table1[[#This Row],[Satisfaction Rating]],0)</f>
        <v>5</v>
      </c>
    </row>
    <row r="143" spans="1:10">
      <c r="A143" s="1" t="s">
        <v>182</v>
      </c>
      <c r="B143" s="1" t="s">
        <v>88</v>
      </c>
      <c r="C143" s="1">
        <v>64</v>
      </c>
      <c r="D143" s="1" t="s">
        <v>17</v>
      </c>
      <c r="E143" s="2">
        <v>46081</v>
      </c>
      <c r="F143" s="1">
        <v>102</v>
      </c>
      <c r="G143" s="1">
        <v>1.7</v>
      </c>
      <c r="H143" s="1" t="str">
        <f>TEXT(Table1[[#This Row],[Date of Call]],"DDDD")</f>
        <v>Saturday</v>
      </c>
      <c r="I143" s="1" t="str" cm="1">
        <f t="array" ref="I143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143" s="1">
        <f>ROUND(Table1[[#This Row],[Satisfaction Rating]],0)</f>
        <v>2</v>
      </c>
    </row>
    <row r="144" spans="1:10">
      <c r="A144" s="1" t="s">
        <v>183</v>
      </c>
      <c r="B144" s="1" t="s">
        <v>127</v>
      </c>
      <c r="C144" s="1">
        <v>176</v>
      </c>
      <c r="D144" s="1" t="s">
        <v>17</v>
      </c>
      <c r="E144" s="2">
        <v>46081</v>
      </c>
      <c r="F144" s="1">
        <v>33</v>
      </c>
      <c r="G144" s="1">
        <v>2.7</v>
      </c>
      <c r="H144" s="1" t="str">
        <f>TEXT(Table1[[#This Row],[Date of Call]],"DDDD")</f>
        <v>Saturday</v>
      </c>
      <c r="I144" s="1" t="str" cm="1">
        <f t="array" ref="I144">_xlfn.IFS(Table1[[#This Row],[Duration]]&lt;=10,"Under 10 mins",Table1[[#This Row],[Duration]]&lt;=30,"10 to 30 mins",Table1[[#This Row],[Duration]]&lt;=60,"30 to 60 min",Table1[[#This Row],[Duration]]&lt;=120,"1to2 hours",TRUE,"More than 2 hours")</f>
        <v>More than 2 hours</v>
      </c>
      <c r="J144" s="1">
        <f>ROUND(Table1[[#This Row],[Satisfaction Rating]],0)</f>
        <v>3</v>
      </c>
    </row>
    <row r="145" spans="1:10">
      <c r="A145" s="1" t="s">
        <v>184</v>
      </c>
      <c r="B145" s="1" t="s">
        <v>40</v>
      </c>
      <c r="C145" s="1">
        <v>82</v>
      </c>
      <c r="D145" s="1" t="s">
        <v>37</v>
      </c>
      <c r="E145" s="2">
        <v>46050</v>
      </c>
      <c r="F145" s="1">
        <v>200</v>
      </c>
      <c r="G145" s="1">
        <v>3.2</v>
      </c>
      <c r="H145" s="1" t="str">
        <f>TEXT(Table1[[#This Row],[Date of Call]],"DDDD")</f>
        <v>Wednesday</v>
      </c>
      <c r="I145" s="1" t="str" cm="1">
        <f t="array" ref="I145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145" s="1">
        <f>ROUND(Table1[[#This Row],[Satisfaction Rating]],0)</f>
        <v>3</v>
      </c>
    </row>
    <row r="146" spans="1:10">
      <c r="A146" s="1" t="s">
        <v>185</v>
      </c>
      <c r="B146" s="1" t="s">
        <v>62</v>
      </c>
      <c r="C146" s="1">
        <v>122</v>
      </c>
      <c r="D146" s="1" t="s">
        <v>27</v>
      </c>
      <c r="E146" s="2">
        <v>46050</v>
      </c>
      <c r="F146" s="1">
        <v>120</v>
      </c>
      <c r="G146" s="1">
        <v>4.8</v>
      </c>
      <c r="H146" s="1" t="str">
        <f>TEXT(Table1[[#This Row],[Date of Call]],"DDDD")</f>
        <v>Wednesday</v>
      </c>
      <c r="I146" s="1" t="str" cm="1">
        <f t="array" ref="I146">_xlfn.IFS(Table1[[#This Row],[Duration]]&lt;=10,"Under 10 mins",Table1[[#This Row],[Duration]]&lt;=30,"10 to 30 mins",Table1[[#This Row],[Duration]]&lt;=60,"30 to 60 min",Table1[[#This Row],[Duration]]&lt;=120,"1to2 hours",TRUE,"More than 2 hours")</f>
        <v>More than 2 hours</v>
      </c>
      <c r="J146" s="1">
        <f>ROUND(Table1[[#This Row],[Satisfaction Rating]],0)</f>
        <v>5</v>
      </c>
    </row>
    <row r="147" spans="1:10">
      <c r="A147" s="1" t="s">
        <v>186</v>
      </c>
      <c r="B147" s="1" t="s">
        <v>26</v>
      </c>
      <c r="C147" s="1">
        <v>16</v>
      </c>
      <c r="D147" s="1" t="s">
        <v>13</v>
      </c>
      <c r="E147" s="2">
        <v>46201</v>
      </c>
      <c r="F147" s="1">
        <v>118</v>
      </c>
      <c r="G147" s="1">
        <v>2.4</v>
      </c>
      <c r="H147" s="1" t="str">
        <f>TEXT(Table1[[#This Row],[Date of Call]],"DDDD")</f>
        <v>Sunday</v>
      </c>
      <c r="I147" s="1" t="str" cm="1">
        <f t="array" ref="I147">_xlfn.IFS(Table1[[#This Row],[Duration]]&lt;=10,"Under 10 mins",Table1[[#This Row],[Duration]]&lt;=30,"10 to 30 mins",Table1[[#This Row],[Duration]]&lt;=60,"30 to 60 min",Table1[[#This Row],[Duration]]&lt;=120,"1to2 hours",TRUE,"More than 2 hours")</f>
        <v>10 to 30 mins</v>
      </c>
      <c r="J147" s="1">
        <f>ROUND(Table1[[#This Row],[Satisfaction Rating]],0)</f>
        <v>2</v>
      </c>
    </row>
    <row r="148" spans="1:10">
      <c r="A148" s="1" t="s">
        <v>187</v>
      </c>
      <c r="B148" s="1" t="s">
        <v>59</v>
      </c>
      <c r="C148" s="1">
        <v>77</v>
      </c>
      <c r="D148" s="1" t="s">
        <v>37</v>
      </c>
      <c r="E148" s="2">
        <v>46201</v>
      </c>
      <c r="F148" s="1">
        <v>87</v>
      </c>
      <c r="G148" s="1">
        <v>4.4000000000000004</v>
      </c>
      <c r="H148" s="1" t="str">
        <f>TEXT(Table1[[#This Row],[Date of Call]],"DDDD")</f>
        <v>Sunday</v>
      </c>
      <c r="I148" s="1" t="str" cm="1">
        <f t="array" ref="I148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148" s="1">
        <f>ROUND(Table1[[#This Row],[Satisfaction Rating]],0)</f>
        <v>4</v>
      </c>
    </row>
    <row r="149" spans="1:10">
      <c r="A149" s="1" t="s">
        <v>188</v>
      </c>
      <c r="B149" s="1" t="s">
        <v>71</v>
      </c>
      <c r="C149" s="1">
        <v>30</v>
      </c>
      <c r="D149" s="1" t="s">
        <v>27</v>
      </c>
      <c r="E149" s="2">
        <v>46109</v>
      </c>
      <c r="F149" s="1">
        <v>37</v>
      </c>
      <c r="G149" s="1">
        <v>2</v>
      </c>
      <c r="H149" s="1" t="str">
        <f>TEXT(Table1[[#This Row],[Date of Call]],"DDDD")</f>
        <v>Saturday</v>
      </c>
      <c r="I149" s="1" t="str" cm="1">
        <f t="array" ref="I149">_xlfn.IFS(Table1[[#This Row],[Duration]]&lt;=10,"Under 10 mins",Table1[[#This Row],[Duration]]&lt;=30,"10 to 30 mins",Table1[[#This Row],[Duration]]&lt;=60,"30 to 60 min",Table1[[#This Row],[Duration]]&lt;=120,"1to2 hours",TRUE,"More than 2 hours")</f>
        <v>10 to 30 mins</v>
      </c>
      <c r="J149" s="1">
        <f>ROUND(Table1[[#This Row],[Satisfaction Rating]],0)</f>
        <v>2</v>
      </c>
    </row>
    <row r="150" spans="1:10">
      <c r="A150" s="1" t="s">
        <v>189</v>
      </c>
      <c r="B150" s="1" t="s">
        <v>65</v>
      </c>
      <c r="C150" s="1">
        <v>22</v>
      </c>
      <c r="D150" s="1" t="s">
        <v>27</v>
      </c>
      <c r="E150" s="2">
        <v>46109</v>
      </c>
      <c r="F150" s="1">
        <v>181</v>
      </c>
      <c r="G150" s="1">
        <v>3.7</v>
      </c>
      <c r="H150" s="1" t="str">
        <f>TEXT(Table1[[#This Row],[Date of Call]],"DDDD")</f>
        <v>Saturday</v>
      </c>
      <c r="I150" s="1" t="str" cm="1">
        <f t="array" ref="I150">_xlfn.IFS(Table1[[#This Row],[Duration]]&lt;=10,"Under 10 mins",Table1[[#This Row],[Duration]]&lt;=30,"10 to 30 mins",Table1[[#This Row],[Duration]]&lt;=60,"30 to 60 min",Table1[[#This Row],[Duration]]&lt;=120,"1to2 hours",TRUE,"More than 2 hours")</f>
        <v>10 to 30 mins</v>
      </c>
      <c r="J150" s="1">
        <f>ROUND(Table1[[#This Row],[Satisfaction Rating]],0)</f>
        <v>4</v>
      </c>
    </row>
    <row r="151" spans="1:10">
      <c r="A151" s="1" t="s">
        <v>190</v>
      </c>
      <c r="B151" s="1" t="s">
        <v>21</v>
      </c>
      <c r="C151" s="1">
        <v>135</v>
      </c>
      <c r="D151" s="1" t="s">
        <v>17</v>
      </c>
      <c r="E151" s="2">
        <v>46109</v>
      </c>
      <c r="F151" s="1">
        <v>169</v>
      </c>
      <c r="G151" s="1">
        <v>3.8</v>
      </c>
      <c r="H151" s="1" t="str">
        <f>TEXT(Table1[[#This Row],[Date of Call]],"DDDD")</f>
        <v>Saturday</v>
      </c>
      <c r="I151" s="1" t="str" cm="1">
        <f t="array" ref="I151">_xlfn.IFS(Table1[[#This Row],[Duration]]&lt;=10,"Under 10 mins",Table1[[#This Row],[Duration]]&lt;=30,"10 to 30 mins",Table1[[#This Row],[Duration]]&lt;=60,"30 to 60 min",Table1[[#This Row],[Duration]]&lt;=120,"1to2 hours",TRUE,"More than 2 hours")</f>
        <v>More than 2 hours</v>
      </c>
      <c r="J151" s="1">
        <f>ROUND(Table1[[#This Row],[Satisfaction Rating]],0)</f>
        <v>4</v>
      </c>
    </row>
    <row r="152" spans="1:10">
      <c r="A152" s="1" t="s">
        <v>191</v>
      </c>
      <c r="B152" s="1" t="s">
        <v>59</v>
      </c>
      <c r="C152" s="1">
        <v>173</v>
      </c>
      <c r="D152" s="1" t="s">
        <v>17</v>
      </c>
      <c r="E152" s="2">
        <v>46170</v>
      </c>
      <c r="F152" s="1">
        <v>59</v>
      </c>
      <c r="G152" s="1">
        <v>3.8</v>
      </c>
      <c r="H152" s="1" t="str">
        <f>TEXT(Table1[[#This Row],[Date of Call]],"DDDD")</f>
        <v>Thursday</v>
      </c>
      <c r="I152" s="1" t="str" cm="1">
        <f t="array" ref="I152">_xlfn.IFS(Table1[[#This Row],[Duration]]&lt;=10,"Under 10 mins",Table1[[#This Row],[Duration]]&lt;=30,"10 to 30 mins",Table1[[#This Row],[Duration]]&lt;=60,"30 to 60 min",Table1[[#This Row],[Duration]]&lt;=120,"1to2 hours",TRUE,"More than 2 hours")</f>
        <v>More than 2 hours</v>
      </c>
      <c r="J152" s="1">
        <f>ROUND(Table1[[#This Row],[Satisfaction Rating]],0)</f>
        <v>4</v>
      </c>
    </row>
    <row r="153" spans="1:10">
      <c r="A153" s="1" t="s">
        <v>192</v>
      </c>
      <c r="B153" s="1" t="s">
        <v>175</v>
      </c>
      <c r="C153" s="1">
        <v>164</v>
      </c>
      <c r="D153" s="1" t="s">
        <v>37</v>
      </c>
      <c r="E153" s="2">
        <v>46170</v>
      </c>
      <c r="F153" s="1">
        <v>107</v>
      </c>
      <c r="G153" s="1">
        <v>2.9</v>
      </c>
      <c r="H153" s="1" t="str">
        <f>TEXT(Table1[[#This Row],[Date of Call]],"DDDD")</f>
        <v>Thursday</v>
      </c>
      <c r="I153" s="1" t="str" cm="1">
        <f t="array" ref="I153">_xlfn.IFS(Table1[[#This Row],[Duration]]&lt;=10,"Under 10 mins",Table1[[#This Row],[Duration]]&lt;=30,"10 to 30 mins",Table1[[#This Row],[Duration]]&lt;=60,"30 to 60 min",Table1[[#This Row],[Duration]]&lt;=120,"1to2 hours",TRUE,"More than 2 hours")</f>
        <v>More than 2 hours</v>
      </c>
      <c r="J153" s="1">
        <f>ROUND(Table1[[#This Row],[Satisfaction Rating]],0)</f>
        <v>3</v>
      </c>
    </row>
    <row r="154" spans="1:10">
      <c r="A154" s="1" t="s">
        <v>193</v>
      </c>
      <c r="B154" s="1" t="s">
        <v>50</v>
      </c>
      <c r="C154" s="1">
        <v>140</v>
      </c>
      <c r="D154" s="1" t="s">
        <v>37</v>
      </c>
      <c r="E154" s="2">
        <v>46170</v>
      </c>
      <c r="F154" s="1">
        <v>171</v>
      </c>
      <c r="G154" s="1">
        <v>3.7</v>
      </c>
      <c r="H154" s="1" t="str">
        <f>TEXT(Table1[[#This Row],[Date of Call]],"DDDD")</f>
        <v>Thursday</v>
      </c>
      <c r="I154" s="1" t="str" cm="1">
        <f t="array" ref="I154">_xlfn.IFS(Table1[[#This Row],[Duration]]&lt;=10,"Under 10 mins",Table1[[#This Row],[Duration]]&lt;=30,"10 to 30 mins",Table1[[#This Row],[Duration]]&lt;=60,"30 to 60 min",Table1[[#This Row],[Duration]]&lt;=120,"1to2 hours",TRUE,"More than 2 hours")</f>
        <v>More than 2 hours</v>
      </c>
      <c r="J154" s="1">
        <f>ROUND(Table1[[#This Row],[Satisfaction Rating]],0)</f>
        <v>4</v>
      </c>
    </row>
    <row r="155" spans="1:10">
      <c r="A155" s="1" t="s">
        <v>194</v>
      </c>
      <c r="B155" s="1" t="s">
        <v>59</v>
      </c>
      <c r="C155" s="1">
        <v>124</v>
      </c>
      <c r="D155" s="1" t="s">
        <v>13</v>
      </c>
      <c r="E155" s="2">
        <v>46141</v>
      </c>
      <c r="F155" s="1">
        <v>56</v>
      </c>
      <c r="G155" s="1">
        <v>1.2</v>
      </c>
      <c r="H155" s="1" t="str">
        <f>TEXT(Table1[[#This Row],[Date of Call]],"DDDD")</f>
        <v>Wednesday</v>
      </c>
      <c r="I155" s="1" t="str" cm="1">
        <f t="array" ref="I155">_xlfn.IFS(Table1[[#This Row],[Duration]]&lt;=10,"Under 10 mins",Table1[[#This Row],[Duration]]&lt;=30,"10 to 30 mins",Table1[[#This Row],[Duration]]&lt;=60,"30 to 60 min",Table1[[#This Row],[Duration]]&lt;=120,"1to2 hours",TRUE,"More than 2 hours")</f>
        <v>More than 2 hours</v>
      </c>
      <c r="J155" s="1">
        <f>ROUND(Table1[[#This Row],[Satisfaction Rating]],0)</f>
        <v>1</v>
      </c>
    </row>
    <row r="156" spans="1:10">
      <c r="A156" s="1" t="s">
        <v>195</v>
      </c>
      <c r="B156" s="1" t="s">
        <v>21</v>
      </c>
      <c r="C156" s="1">
        <v>72</v>
      </c>
      <c r="D156" s="1" t="s">
        <v>37</v>
      </c>
      <c r="E156" s="2">
        <v>46141</v>
      </c>
      <c r="F156" s="1">
        <v>40</v>
      </c>
      <c r="G156" s="1">
        <v>3.6</v>
      </c>
      <c r="H156" s="1" t="str">
        <f>TEXT(Table1[[#This Row],[Date of Call]],"DDDD")</f>
        <v>Wednesday</v>
      </c>
      <c r="I156" s="1" t="str" cm="1">
        <f t="array" ref="I156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156" s="1">
        <f>ROUND(Table1[[#This Row],[Satisfaction Rating]],0)</f>
        <v>4</v>
      </c>
    </row>
    <row r="157" spans="1:10">
      <c r="A157" s="1" t="s">
        <v>196</v>
      </c>
      <c r="B157" s="1" t="s">
        <v>175</v>
      </c>
      <c r="C157" s="1">
        <v>179</v>
      </c>
      <c r="D157" s="1" t="s">
        <v>17</v>
      </c>
      <c r="E157" s="2">
        <v>46051</v>
      </c>
      <c r="F157" s="1">
        <v>85</v>
      </c>
      <c r="G157" s="1">
        <v>2.7</v>
      </c>
      <c r="H157" s="1" t="str">
        <f>TEXT(Table1[[#This Row],[Date of Call]],"DDDD")</f>
        <v>Thursday</v>
      </c>
      <c r="I157" s="1" t="str" cm="1">
        <f t="array" ref="I157">_xlfn.IFS(Table1[[#This Row],[Duration]]&lt;=10,"Under 10 mins",Table1[[#This Row],[Duration]]&lt;=30,"10 to 30 mins",Table1[[#This Row],[Duration]]&lt;=60,"30 to 60 min",Table1[[#This Row],[Duration]]&lt;=120,"1to2 hours",TRUE,"More than 2 hours")</f>
        <v>More than 2 hours</v>
      </c>
      <c r="J157" s="1">
        <f>ROUND(Table1[[#This Row],[Satisfaction Rating]],0)</f>
        <v>3</v>
      </c>
    </row>
    <row r="158" spans="1:10">
      <c r="A158" s="1" t="s">
        <v>197</v>
      </c>
      <c r="B158" s="1" t="s">
        <v>33</v>
      </c>
      <c r="C158" s="1">
        <v>68</v>
      </c>
      <c r="D158" s="1" t="s">
        <v>17</v>
      </c>
      <c r="E158" s="2">
        <v>46202</v>
      </c>
      <c r="F158" s="1">
        <v>184</v>
      </c>
      <c r="G158" s="1">
        <v>3.6</v>
      </c>
      <c r="H158" s="1" t="str">
        <f>TEXT(Table1[[#This Row],[Date of Call]],"DDDD")</f>
        <v>Monday</v>
      </c>
      <c r="I158" s="1" t="str" cm="1">
        <f t="array" ref="I158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158" s="1">
        <f>ROUND(Table1[[#This Row],[Satisfaction Rating]],0)</f>
        <v>4</v>
      </c>
    </row>
    <row r="159" spans="1:10">
      <c r="A159" s="1" t="s">
        <v>198</v>
      </c>
      <c r="B159" s="1" t="s">
        <v>19</v>
      </c>
      <c r="C159" s="1">
        <v>70</v>
      </c>
      <c r="D159" s="1" t="s">
        <v>27</v>
      </c>
      <c r="E159" s="2">
        <v>46202</v>
      </c>
      <c r="F159" s="1">
        <v>75</v>
      </c>
      <c r="G159" s="1">
        <v>4.0999999999999996</v>
      </c>
      <c r="H159" s="1" t="str">
        <f>TEXT(Table1[[#This Row],[Date of Call]],"DDDD")</f>
        <v>Monday</v>
      </c>
      <c r="I159" s="1" t="str" cm="1">
        <f t="array" ref="I159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159" s="1">
        <f>ROUND(Table1[[#This Row],[Satisfaction Rating]],0)</f>
        <v>4</v>
      </c>
    </row>
    <row r="160" spans="1:10">
      <c r="A160" s="1" t="s">
        <v>199</v>
      </c>
      <c r="B160" s="1" t="s">
        <v>73</v>
      </c>
      <c r="C160" s="1">
        <v>99</v>
      </c>
      <c r="D160" s="1" t="s">
        <v>17</v>
      </c>
      <c r="E160" s="2">
        <v>46202</v>
      </c>
      <c r="F160" s="1">
        <v>126</v>
      </c>
      <c r="G160" s="1">
        <v>2.1</v>
      </c>
      <c r="H160" s="1" t="str">
        <f>TEXT(Table1[[#This Row],[Date of Call]],"DDDD")</f>
        <v>Monday</v>
      </c>
      <c r="I160" s="1" t="str" cm="1">
        <f t="array" ref="I160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160" s="1">
        <f>ROUND(Table1[[#This Row],[Satisfaction Rating]],0)</f>
        <v>2</v>
      </c>
    </row>
    <row r="161" spans="1:10">
      <c r="A161" s="1" t="s">
        <v>200</v>
      </c>
      <c r="B161" s="1" t="s">
        <v>24</v>
      </c>
      <c r="C161" s="1">
        <v>91</v>
      </c>
      <c r="D161" s="1" t="s">
        <v>22</v>
      </c>
      <c r="E161" s="2">
        <v>46171</v>
      </c>
      <c r="F161" s="1">
        <v>178</v>
      </c>
      <c r="G161" s="1">
        <v>3</v>
      </c>
      <c r="H161" s="1" t="str">
        <f>TEXT(Table1[[#This Row],[Date of Call]],"DDDD")</f>
        <v>Friday</v>
      </c>
      <c r="I161" s="1" t="str" cm="1">
        <f t="array" ref="I161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161" s="1">
        <f>ROUND(Table1[[#This Row],[Satisfaction Rating]],0)</f>
        <v>3</v>
      </c>
    </row>
    <row r="162" spans="1:10">
      <c r="A162" s="1" t="s">
        <v>201</v>
      </c>
      <c r="B162" s="1" t="s">
        <v>65</v>
      </c>
      <c r="C162" s="1">
        <v>69</v>
      </c>
      <c r="D162" s="1" t="s">
        <v>22</v>
      </c>
      <c r="E162" s="2">
        <v>46056</v>
      </c>
      <c r="F162" s="1">
        <v>195</v>
      </c>
      <c r="G162" s="1">
        <v>4.7</v>
      </c>
      <c r="H162" s="1" t="str">
        <f>TEXT(Table1[[#This Row],[Date of Call]],"DDDD")</f>
        <v>Tuesday</v>
      </c>
      <c r="I162" s="1" t="str" cm="1">
        <f t="array" ref="I162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162" s="1">
        <f>ROUND(Table1[[#This Row],[Satisfaction Rating]],0)</f>
        <v>5</v>
      </c>
    </row>
    <row r="163" spans="1:10">
      <c r="A163" s="1" t="s">
        <v>202</v>
      </c>
      <c r="B163" s="1" t="s">
        <v>80</v>
      </c>
      <c r="C163" s="1">
        <v>15</v>
      </c>
      <c r="D163" s="1" t="s">
        <v>17</v>
      </c>
      <c r="E163" s="2">
        <v>46056</v>
      </c>
      <c r="F163" s="1">
        <v>173</v>
      </c>
      <c r="G163" s="1">
        <v>4.9000000000000004</v>
      </c>
      <c r="H163" s="1" t="str">
        <f>TEXT(Table1[[#This Row],[Date of Call]],"DDDD")</f>
        <v>Tuesday</v>
      </c>
      <c r="I163" s="1" t="str" cm="1">
        <f t="array" ref="I163">_xlfn.IFS(Table1[[#This Row],[Duration]]&lt;=10,"Under 10 mins",Table1[[#This Row],[Duration]]&lt;=30,"10 to 30 mins",Table1[[#This Row],[Duration]]&lt;=60,"30 to 60 min",Table1[[#This Row],[Duration]]&lt;=120,"1to2 hours",TRUE,"More than 2 hours")</f>
        <v>10 to 30 mins</v>
      </c>
      <c r="J163" s="1">
        <f>ROUND(Table1[[#This Row],[Satisfaction Rating]],0)</f>
        <v>5</v>
      </c>
    </row>
    <row r="164" spans="1:10">
      <c r="A164" s="1" t="s">
        <v>203</v>
      </c>
      <c r="B164" s="1" t="s">
        <v>67</v>
      </c>
      <c r="C164" s="1">
        <v>83</v>
      </c>
      <c r="D164" s="1" t="s">
        <v>22</v>
      </c>
      <c r="E164" s="2">
        <v>46056</v>
      </c>
      <c r="F164" s="1">
        <v>83</v>
      </c>
      <c r="G164" s="1">
        <v>2.8</v>
      </c>
      <c r="H164" s="1" t="str">
        <f>TEXT(Table1[[#This Row],[Date of Call]],"DDDD")</f>
        <v>Tuesday</v>
      </c>
      <c r="I164" s="1" t="str" cm="1">
        <f t="array" ref="I164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164" s="1">
        <f>ROUND(Table1[[#This Row],[Satisfaction Rating]],0)</f>
        <v>3</v>
      </c>
    </row>
    <row r="165" spans="1:10">
      <c r="A165" s="1" t="s">
        <v>204</v>
      </c>
      <c r="B165" s="1" t="s">
        <v>12</v>
      </c>
      <c r="C165" s="1">
        <v>28</v>
      </c>
      <c r="D165" s="1" t="s">
        <v>17</v>
      </c>
      <c r="E165" s="2">
        <v>46145</v>
      </c>
      <c r="F165" s="1">
        <v>39</v>
      </c>
      <c r="G165" s="1">
        <v>4.3</v>
      </c>
      <c r="H165" s="1" t="str">
        <f>TEXT(Table1[[#This Row],[Date of Call]],"DDDD")</f>
        <v>Sunday</v>
      </c>
      <c r="I165" s="1" t="str" cm="1">
        <f t="array" ref="I165">_xlfn.IFS(Table1[[#This Row],[Duration]]&lt;=10,"Under 10 mins",Table1[[#This Row],[Duration]]&lt;=30,"10 to 30 mins",Table1[[#This Row],[Duration]]&lt;=60,"30 to 60 min",Table1[[#This Row],[Duration]]&lt;=120,"1to2 hours",TRUE,"More than 2 hours")</f>
        <v>10 to 30 mins</v>
      </c>
      <c r="J165" s="1">
        <f>ROUND(Table1[[#This Row],[Satisfaction Rating]],0)</f>
        <v>4</v>
      </c>
    </row>
    <row r="166" spans="1:10">
      <c r="A166" s="1" t="s">
        <v>205</v>
      </c>
      <c r="B166" s="1" t="s">
        <v>50</v>
      </c>
      <c r="C166" s="1">
        <v>112</v>
      </c>
      <c r="D166" s="1" t="s">
        <v>22</v>
      </c>
      <c r="E166" s="2">
        <v>46142</v>
      </c>
      <c r="F166" s="1">
        <v>145</v>
      </c>
      <c r="G166" s="1">
        <v>2</v>
      </c>
      <c r="H166" s="1" t="str">
        <f>TEXT(Table1[[#This Row],[Date of Call]],"DDDD")</f>
        <v>Thursday</v>
      </c>
      <c r="I166" s="1" t="str" cm="1">
        <f t="array" ref="I166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166" s="1">
        <f>ROUND(Table1[[#This Row],[Satisfaction Rating]],0)</f>
        <v>2</v>
      </c>
    </row>
    <row r="167" spans="1:10">
      <c r="A167" s="1" t="s">
        <v>206</v>
      </c>
      <c r="B167" s="1" t="s">
        <v>19</v>
      </c>
      <c r="C167" s="1">
        <v>170</v>
      </c>
      <c r="D167" s="1" t="s">
        <v>17</v>
      </c>
      <c r="E167" s="2">
        <v>46142</v>
      </c>
      <c r="F167" s="1">
        <v>123</v>
      </c>
      <c r="G167" s="1">
        <v>2.8</v>
      </c>
      <c r="H167" s="1" t="str">
        <f>TEXT(Table1[[#This Row],[Date of Call]],"DDDD")</f>
        <v>Thursday</v>
      </c>
      <c r="I167" s="1" t="str" cm="1">
        <f t="array" ref="I167">_xlfn.IFS(Table1[[#This Row],[Duration]]&lt;=10,"Under 10 mins",Table1[[#This Row],[Duration]]&lt;=30,"10 to 30 mins",Table1[[#This Row],[Duration]]&lt;=60,"30 to 60 min",Table1[[#This Row],[Duration]]&lt;=120,"1to2 hours",TRUE,"More than 2 hours")</f>
        <v>More than 2 hours</v>
      </c>
      <c r="J167" s="1">
        <f>ROUND(Table1[[#This Row],[Satisfaction Rating]],0)</f>
        <v>3</v>
      </c>
    </row>
    <row r="168" spans="1:10">
      <c r="A168" s="1" t="s">
        <v>207</v>
      </c>
      <c r="B168" s="1" t="s">
        <v>12</v>
      </c>
      <c r="C168" s="1">
        <v>170</v>
      </c>
      <c r="D168" s="1" t="s">
        <v>22</v>
      </c>
      <c r="E168" s="2">
        <v>46052</v>
      </c>
      <c r="F168" s="1">
        <v>51</v>
      </c>
      <c r="G168" s="1">
        <v>4.9000000000000004</v>
      </c>
      <c r="H168" s="1" t="str">
        <f>TEXT(Table1[[#This Row],[Date of Call]],"DDDD")</f>
        <v>Friday</v>
      </c>
      <c r="I168" s="1" t="str" cm="1">
        <f t="array" ref="I168">_xlfn.IFS(Table1[[#This Row],[Duration]]&lt;=10,"Under 10 mins",Table1[[#This Row],[Duration]]&lt;=30,"10 to 30 mins",Table1[[#This Row],[Duration]]&lt;=60,"30 to 60 min",Table1[[#This Row],[Duration]]&lt;=120,"1to2 hours",TRUE,"More than 2 hours")</f>
        <v>More than 2 hours</v>
      </c>
      <c r="J168" s="1">
        <f>ROUND(Table1[[#This Row],[Satisfaction Rating]],0)</f>
        <v>5</v>
      </c>
    </row>
    <row r="169" spans="1:10">
      <c r="A169" s="1" t="s">
        <v>208</v>
      </c>
      <c r="B169" s="1" t="s">
        <v>57</v>
      </c>
      <c r="C169" s="1">
        <v>65</v>
      </c>
      <c r="D169" s="1" t="s">
        <v>27</v>
      </c>
      <c r="E169" s="2">
        <v>46052</v>
      </c>
      <c r="F169" s="1">
        <v>149</v>
      </c>
      <c r="G169" s="1">
        <v>1.9</v>
      </c>
      <c r="H169" s="1" t="str">
        <f>TEXT(Table1[[#This Row],[Date of Call]],"DDDD")</f>
        <v>Friday</v>
      </c>
      <c r="I169" s="1" t="str" cm="1">
        <f t="array" ref="I169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169" s="1">
        <f>ROUND(Table1[[#This Row],[Satisfaction Rating]],0)</f>
        <v>2</v>
      </c>
    </row>
    <row r="170" spans="1:10">
      <c r="A170" s="1" t="s">
        <v>209</v>
      </c>
      <c r="B170" s="1" t="s">
        <v>65</v>
      </c>
      <c r="C170" s="1">
        <v>156</v>
      </c>
      <c r="D170" s="1" t="s">
        <v>22</v>
      </c>
      <c r="E170" s="2">
        <v>46111</v>
      </c>
      <c r="F170" s="1">
        <v>118</v>
      </c>
      <c r="G170" s="1">
        <v>5</v>
      </c>
      <c r="H170" s="1" t="str">
        <f>TEXT(Table1[[#This Row],[Date of Call]],"DDDD")</f>
        <v>Monday</v>
      </c>
      <c r="I170" s="1" t="str" cm="1">
        <f t="array" ref="I170">_xlfn.IFS(Table1[[#This Row],[Duration]]&lt;=10,"Under 10 mins",Table1[[#This Row],[Duration]]&lt;=30,"10 to 30 mins",Table1[[#This Row],[Duration]]&lt;=60,"30 to 60 min",Table1[[#This Row],[Duration]]&lt;=120,"1to2 hours",TRUE,"More than 2 hours")</f>
        <v>More than 2 hours</v>
      </c>
      <c r="J170" s="1">
        <f>ROUND(Table1[[#This Row],[Satisfaction Rating]],0)</f>
        <v>5</v>
      </c>
    </row>
    <row r="171" spans="1:10">
      <c r="A171" s="1" t="s">
        <v>210</v>
      </c>
      <c r="B171" s="1" t="s">
        <v>57</v>
      </c>
      <c r="C171" s="1">
        <v>86</v>
      </c>
      <c r="D171" s="1" t="s">
        <v>13</v>
      </c>
      <c r="E171" s="2">
        <v>46172</v>
      </c>
      <c r="F171" s="1">
        <v>121</v>
      </c>
      <c r="G171" s="1">
        <v>3.5</v>
      </c>
      <c r="H171" s="1" t="str">
        <f>TEXT(Table1[[#This Row],[Date of Call]],"DDDD")</f>
        <v>Saturday</v>
      </c>
      <c r="I171" s="1" t="str" cm="1">
        <f t="array" ref="I171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171" s="1">
        <f>ROUND(Table1[[#This Row],[Satisfaction Rating]],0)</f>
        <v>4</v>
      </c>
    </row>
    <row r="172" spans="1:10">
      <c r="A172" s="1" t="s">
        <v>211</v>
      </c>
      <c r="B172" s="1" t="s">
        <v>86</v>
      </c>
      <c r="C172" s="1">
        <v>147</v>
      </c>
      <c r="D172" s="1" t="s">
        <v>27</v>
      </c>
      <c r="E172" s="2">
        <v>46053</v>
      </c>
      <c r="F172" s="1">
        <v>73</v>
      </c>
      <c r="G172" s="1">
        <v>1.9</v>
      </c>
      <c r="H172" s="1" t="str">
        <f>TEXT(Table1[[#This Row],[Date of Call]],"DDDD")</f>
        <v>Saturday</v>
      </c>
      <c r="I172" s="1" t="str" cm="1">
        <f t="array" ref="I172">_xlfn.IFS(Table1[[#This Row],[Duration]]&lt;=10,"Under 10 mins",Table1[[#This Row],[Duration]]&lt;=30,"10 to 30 mins",Table1[[#This Row],[Duration]]&lt;=60,"30 to 60 min",Table1[[#This Row],[Duration]]&lt;=120,"1to2 hours",TRUE,"More than 2 hours")</f>
        <v>More than 2 hours</v>
      </c>
      <c r="J172" s="1">
        <f>ROUND(Table1[[#This Row],[Satisfaction Rating]],0)</f>
        <v>2</v>
      </c>
    </row>
    <row r="173" spans="1:10">
      <c r="A173" s="1" t="s">
        <v>212</v>
      </c>
      <c r="B173" s="1" t="s">
        <v>62</v>
      </c>
      <c r="C173" s="1">
        <v>75</v>
      </c>
      <c r="D173" s="1" t="s">
        <v>27</v>
      </c>
      <c r="E173" s="2">
        <v>46053</v>
      </c>
      <c r="F173" s="1">
        <v>155</v>
      </c>
      <c r="G173" s="1">
        <v>2</v>
      </c>
      <c r="H173" s="1" t="str">
        <f>TEXT(Table1[[#This Row],[Date of Call]],"DDDD")</f>
        <v>Saturday</v>
      </c>
      <c r="I173" s="1" t="str" cm="1">
        <f t="array" ref="I173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173" s="1">
        <f>ROUND(Table1[[#This Row],[Satisfaction Rating]],0)</f>
        <v>2</v>
      </c>
    </row>
    <row r="174" spans="1:10">
      <c r="A174" s="1" t="s">
        <v>213</v>
      </c>
      <c r="B174" s="1" t="s">
        <v>127</v>
      </c>
      <c r="C174" s="1">
        <v>66</v>
      </c>
      <c r="D174" s="1" t="s">
        <v>27</v>
      </c>
      <c r="E174" s="2">
        <v>46112</v>
      </c>
      <c r="F174" s="1">
        <v>88</v>
      </c>
      <c r="G174" s="1">
        <v>4.3</v>
      </c>
      <c r="H174" s="1" t="str">
        <f>TEXT(Table1[[#This Row],[Date of Call]],"DDDD")</f>
        <v>Tuesday</v>
      </c>
      <c r="I174" s="1" t="str" cm="1">
        <f t="array" ref="I174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174" s="1">
        <f>ROUND(Table1[[#This Row],[Satisfaction Rating]],0)</f>
        <v>4</v>
      </c>
    </row>
    <row r="175" spans="1:10">
      <c r="A175" s="1" t="s">
        <v>214</v>
      </c>
      <c r="B175" s="1" t="s">
        <v>65</v>
      </c>
      <c r="C175" s="1">
        <v>38</v>
      </c>
      <c r="D175" s="1" t="s">
        <v>27</v>
      </c>
      <c r="E175" s="2">
        <v>46112</v>
      </c>
      <c r="F175" s="1">
        <v>114</v>
      </c>
      <c r="G175" s="1">
        <v>2.2999999999999998</v>
      </c>
      <c r="H175" s="1" t="str">
        <f>TEXT(Table1[[#This Row],[Date of Call]],"DDDD")</f>
        <v>Tuesday</v>
      </c>
      <c r="I175" s="1" t="str" cm="1">
        <f t="array" ref="I175">_xlfn.IFS(Table1[[#This Row],[Duration]]&lt;=10,"Under 10 mins",Table1[[#This Row],[Duration]]&lt;=30,"10 to 30 mins",Table1[[#This Row],[Duration]]&lt;=60,"30 to 60 min",Table1[[#This Row],[Duration]]&lt;=120,"1to2 hours",TRUE,"More than 2 hours")</f>
        <v>30 to 60 min</v>
      </c>
      <c r="J175" s="1">
        <f>ROUND(Table1[[#This Row],[Satisfaction Rating]],0)</f>
        <v>2</v>
      </c>
    </row>
    <row r="176" spans="1:10">
      <c r="A176" s="1" t="s">
        <v>215</v>
      </c>
      <c r="B176" s="1" t="s">
        <v>62</v>
      </c>
      <c r="C176" s="1">
        <v>46</v>
      </c>
      <c r="D176" s="1" t="s">
        <v>27</v>
      </c>
      <c r="E176" s="2">
        <v>46057</v>
      </c>
      <c r="F176" s="1">
        <v>128</v>
      </c>
      <c r="G176" s="1">
        <v>3.7</v>
      </c>
      <c r="H176" s="1" t="str">
        <f>TEXT(Table1[[#This Row],[Date of Call]],"DDDD")</f>
        <v>Wednesday</v>
      </c>
      <c r="I176" s="1" t="str" cm="1">
        <f t="array" ref="I176">_xlfn.IFS(Table1[[#This Row],[Duration]]&lt;=10,"Under 10 mins",Table1[[#This Row],[Duration]]&lt;=30,"10 to 30 mins",Table1[[#This Row],[Duration]]&lt;=60,"30 to 60 min",Table1[[#This Row],[Duration]]&lt;=120,"1to2 hours",TRUE,"More than 2 hours")</f>
        <v>30 to 60 min</v>
      </c>
      <c r="J176" s="1">
        <f>ROUND(Table1[[#This Row],[Satisfaction Rating]],0)</f>
        <v>4</v>
      </c>
    </row>
    <row r="177" spans="1:10">
      <c r="A177" s="1" t="s">
        <v>216</v>
      </c>
      <c r="B177" s="1" t="s">
        <v>19</v>
      </c>
      <c r="C177" s="1">
        <v>162</v>
      </c>
      <c r="D177" s="1" t="s">
        <v>27</v>
      </c>
      <c r="E177" s="2">
        <v>46085</v>
      </c>
      <c r="F177" s="1">
        <v>131</v>
      </c>
      <c r="G177" s="1">
        <v>4.2</v>
      </c>
      <c r="H177" s="1" t="str">
        <f>TEXT(Table1[[#This Row],[Date of Call]],"DDDD")</f>
        <v>Wednesday</v>
      </c>
      <c r="I177" s="1" t="str" cm="1">
        <f t="array" ref="I177">_xlfn.IFS(Table1[[#This Row],[Duration]]&lt;=10,"Under 10 mins",Table1[[#This Row],[Duration]]&lt;=30,"10 to 30 mins",Table1[[#This Row],[Duration]]&lt;=60,"30 to 60 min",Table1[[#This Row],[Duration]]&lt;=120,"1to2 hours",TRUE,"More than 2 hours")</f>
        <v>More than 2 hours</v>
      </c>
      <c r="J177" s="1">
        <f>ROUND(Table1[[#This Row],[Satisfaction Rating]],0)</f>
        <v>4</v>
      </c>
    </row>
    <row r="178" spans="1:10">
      <c r="A178" s="1" t="s">
        <v>217</v>
      </c>
      <c r="B178" s="1" t="s">
        <v>40</v>
      </c>
      <c r="C178" s="1">
        <v>104</v>
      </c>
      <c r="D178" s="1" t="s">
        <v>37</v>
      </c>
      <c r="E178" s="2">
        <v>46085</v>
      </c>
      <c r="F178" s="1">
        <v>104</v>
      </c>
      <c r="G178" s="1">
        <v>2.1</v>
      </c>
      <c r="H178" s="1" t="str">
        <f>TEXT(Table1[[#This Row],[Date of Call]],"DDDD")</f>
        <v>Wednesday</v>
      </c>
      <c r="I178" s="1" t="str" cm="1">
        <f t="array" ref="I178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178" s="1">
        <f>ROUND(Table1[[#This Row],[Satisfaction Rating]],0)</f>
        <v>2</v>
      </c>
    </row>
    <row r="179" spans="1:10">
      <c r="A179" s="1" t="s">
        <v>218</v>
      </c>
      <c r="B179" s="1" t="s">
        <v>21</v>
      </c>
      <c r="C179" s="1">
        <v>86</v>
      </c>
      <c r="D179" s="1" t="s">
        <v>27</v>
      </c>
      <c r="E179" s="2">
        <v>46085</v>
      </c>
      <c r="F179" s="1">
        <v>128</v>
      </c>
      <c r="G179" s="1">
        <v>3.3</v>
      </c>
      <c r="H179" s="1" t="str">
        <f>TEXT(Table1[[#This Row],[Date of Call]],"DDDD")</f>
        <v>Wednesday</v>
      </c>
      <c r="I179" s="1" t="str" cm="1">
        <f t="array" ref="I179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179" s="1">
        <f>ROUND(Table1[[#This Row],[Satisfaction Rating]],0)</f>
        <v>3</v>
      </c>
    </row>
    <row r="180" spans="1:10">
      <c r="A180" s="1" t="s">
        <v>219</v>
      </c>
      <c r="B180" s="1" t="s">
        <v>88</v>
      </c>
      <c r="C180" s="1">
        <v>138</v>
      </c>
      <c r="D180" s="1" t="s">
        <v>27</v>
      </c>
      <c r="E180" s="2">
        <v>46085</v>
      </c>
      <c r="F180" s="1">
        <v>126</v>
      </c>
      <c r="G180" s="1">
        <v>3.2</v>
      </c>
      <c r="H180" s="1" t="str">
        <f>TEXT(Table1[[#This Row],[Date of Call]],"DDDD")</f>
        <v>Wednesday</v>
      </c>
      <c r="I180" s="1" t="str" cm="1">
        <f t="array" ref="I180">_xlfn.IFS(Table1[[#This Row],[Duration]]&lt;=10,"Under 10 mins",Table1[[#This Row],[Duration]]&lt;=30,"10 to 30 mins",Table1[[#This Row],[Duration]]&lt;=60,"30 to 60 min",Table1[[#This Row],[Duration]]&lt;=120,"1to2 hours",TRUE,"More than 2 hours")</f>
        <v>More than 2 hours</v>
      </c>
      <c r="J180" s="1">
        <f>ROUND(Table1[[#This Row],[Satisfaction Rating]],0)</f>
        <v>3</v>
      </c>
    </row>
    <row r="181" spans="1:10">
      <c r="A181" s="1" t="s">
        <v>220</v>
      </c>
      <c r="B181" s="1" t="s">
        <v>33</v>
      </c>
      <c r="C181" s="1">
        <v>125</v>
      </c>
      <c r="D181" s="1" t="s">
        <v>13</v>
      </c>
      <c r="E181" s="2">
        <v>46085</v>
      </c>
      <c r="F181" s="1">
        <v>145</v>
      </c>
      <c r="G181" s="1">
        <v>2.6</v>
      </c>
      <c r="H181" s="1" t="str">
        <f>TEXT(Table1[[#This Row],[Date of Call]],"DDDD")</f>
        <v>Wednesday</v>
      </c>
      <c r="I181" s="1" t="str" cm="1">
        <f t="array" ref="I181">_xlfn.IFS(Table1[[#This Row],[Duration]]&lt;=10,"Under 10 mins",Table1[[#This Row],[Duration]]&lt;=30,"10 to 30 mins",Table1[[#This Row],[Duration]]&lt;=60,"30 to 60 min",Table1[[#This Row],[Duration]]&lt;=120,"1to2 hours",TRUE,"More than 2 hours")</f>
        <v>More than 2 hours</v>
      </c>
      <c r="J181" s="1">
        <f>ROUND(Table1[[#This Row],[Satisfaction Rating]],0)</f>
        <v>3</v>
      </c>
    </row>
    <row r="182" spans="1:10">
      <c r="A182" s="1" t="s">
        <v>221</v>
      </c>
      <c r="B182" s="1" t="s">
        <v>40</v>
      </c>
      <c r="C182" s="1">
        <v>129</v>
      </c>
      <c r="D182" s="1" t="s">
        <v>22</v>
      </c>
      <c r="E182" s="2">
        <v>46146</v>
      </c>
      <c r="F182" s="1">
        <v>98</v>
      </c>
      <c r="G182" s="1">
        <v>2.2999999999999998</v>
      </c>
      <c r="H182" s="1" t="str">
        <f>TEXT(Table1[[#This Row],[Date of Call]],"DDDD")</f>
        <v>Monday</v>
      </c>
      <c r="I182" s="1" t="str" cm="1">
        <f t="array" ref="I182">_xlfn.IFS(Table1[[#This Row],[Duration]]&lt;=10,"Under 10 mins",Table1[[#This Row],[Duration]]&lt;=30,"10 to 30 mins",Table1[[#This Row],[Duration]]&lt;=60,"30 to 60 min",Table1[[#This Row],[Duration]]&lt;=120,"1to2 hours",TRUE,"More than 2 hours")</f>
        <v>More than 2 hours</v>
      </c>
      <c r="J182" s="1">
        <f>ROUND(Table1[[#This Row],[Satisfaction Rating]],0)</f>
        <v>2</v>
      </c>
    </row>
    <row r="183" spans="1:10">
      <c r="A183" s="1" t="s">
        <v>222</v>
      </c>
      <c r="B183" s="1" t="s">
        <v>67</v>
      </c>
      <c r="C183" s="1">
        <v>152</v>
      </c>
      <c r="D183" s="1" t="s">
        <v>27</v>
      </c>
      <c r="E183" s="2">
        <v>46058</v>
      </c>
      <c r="F183" s="1">
        <v>118</v>
      </c>
      <c r="G183" s="1">
        <v>1.7</v>
      </c>
      <c r="H183" s="1" t="str">
        <f>TEXT(Table1[[#This Row],[Date of Call]],"DDDD")</f>
        <v>Thursday</v>
      </c>
      <c r="I183" s="1" t="str" cm="1">
        <f t="array" ref="I183">_xlfn.IFS(Table1[[#This Row],[Duration]]&lt;=10,"Under 10 mins",Table1[[#This Row],[Duration]]&lt;=30,"10 to 30 mins",Table1[[#This Row],[Duration]]&lt;=60,"30 to 60 min",Table1[[#This Row],[Duration]]&lt;=120,"1to2 hours",TRUE,"More than 2 hours")</f>
        <v>More than 2 hours</v>
      </c>
      <c r="J183" s="1">
        <f>ROUND(Table1[[#This Row],[Satisfaction Rating]],0)</f>
        <v>2</v>
      </c>
    </row>
    <row r="184" spans="1:10">
      <c r="A184" s="1" t="s">
        <v>223</v>
      </c>
      <c r="B184" s="1" t="s">
        <v>42</v>
      </c>
      <c r="C184" s="1">
        <v>97</v>
      </c>
      <c r="D184" s="1" t="s">
        <v>27</v>
      </c>
      <c r="E184" s="2">
        <v>46027</v>
      </c>
      <c r="F184" s="1">
        <v>38</v>
      </c>
      <c r="G184" s="1">
        <v>4.7</v>
      </c>
      <c r="H184" s="1" t="str">
        <f>TEXT(Table1[[#This Row],[Date of Call]],"DDDD")</f>
        <v>Monday</v>
      </c>
      <c r="I184" s="1" t="str" cm="1">
        <f t="array" ref="I184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184" s="1">
        <f>ROUND(Table1[[#This Row],[Satisfaction Rating]],0)</f>
        <v>5</v>
      </c>
    </row>
    <row r="185" spans="1:10">
      <c r="A185" s="1" t="s">
        <v>224</v>
      </c>
      <c r="B185" s="1" t="s">
        <v>71</v>
      </c>
      <c r="C185" s="1">
        <v>157</v>
      </c>
      <c r="D185" s="1" t="s">
        <v>27</v>
      </c>
      <c r="E185" s="2">
        <v>46178</v>
      </c>
      <c r="F185" s="1">
        <v>162</v>
      </c>
      <c r="G185" s="1">
        <v>4.2</v>
      </c>
      <c r="H185" s="1" t="str">
        <f>TEXT(Table1[[#This Row],[Date of Call]],"DDDD")</f>
        <v>Friday</v>
      </c>
      <c r="I185" s="1" t="str" cm="1">
        <f t="array" ref="I185">_xlfn.IFS(Table1[[#This Row],[Duration]]&lt;=10,"Under 10 mins",Table1[[#This Row],[Duration]]&lt;=30,"10 to 30 mins",Table1[[#This Row],[Duration]]&lt;=60,"30 to 60 min",Table1[[#This Row],[Duration]]&lt;=120,"1to2 hours",TRUE,"More than 2 hours")</f>
        <v>More than 2 hours</v>
      </c>
      <c r="J185" s="1">
        <f>ROUND(Table1[[#This Row],[Satisfaction Rating]],0)</f>
        <v>4</v>
      </c>
    </row>
    <row r="186" spans="1:10">
      <c r="A186" s="1" t="s">
        <v>225</v>
      </c>
      <c r="B186" s="1" t="s">
        <v>21</v>
      </c>
      <c r="C186" s="1">
        <v>25</v>
      </c>
      <c r="D186" s="1" t="s">
        <v>37</v>
      </c>
      <c r="E186" s="2">
        <v>46086</v>
      </c>
      <c r="F186" s="1">
        <v>61</v>
      </c>
      <c r="G186" s="1">
        <v>4.4000000000000004</v>
      </c>
      <c r="H186" s="1" t="str">
        <f>TEXT(Table1[[#This Row],[Date of Call]],"DDDD")</f>
        <v>Thursday</v>
      </c>
      <c r="I186" s="1" t="str" cm="1">
        <f t="array" ref="I186">_xlfn.IFS(Table1[[#This Row],[Duration]]&lt;=10,"Under 10 mins",Table1[[#This Row],[Duration]]&lt;=30,"10 to 30 mins",Table1[[#This Row],[Duration]]&lt;=60,"30 to 60 min",Table1[[#This Row],[Duration]]&lt;=120,"1to2 hours",TRUE,"More than 2 hours")</f>
        <v>10 to 30 mins</v>
      </c>
      <c r="J186" s="1">
        <f>ROUND(Table1[[#This Row],[Satisfaction Rating]],0)</f>
        <v>4</v>
      </c>
    </row>
    <row r="187" spans="1:10">
      <c r="A187" s="1" t="s">
        <v>226</v>
      </c>
      <c r="B187" s="1" t="s">
        <v>73</v>
      </c>
      <c r="C187" s="1">
        <v>169</v>
      </c>
      <c r="D187" s="1" t="s">
        <v>13</v>
      </c>
      <c r="E187" s="2">
        <v>46147</v>
      </c>
      <c r="F187" s="1">
        <v>66</v>
      </c>
      <c r="G187" s="1">
        <v>2.1</v>
      </c>
      <c r="H187" s="1" t="str">
        <f>TEXT(Table1[[#This Row],[Date of Call]],"DDDD")</f>
        <v>Tuesday</v>
      </c>
      <c r="I187" s="1" t="str" cm="1">
        <f t="array" ref="I187">_xlfn.IFS(Table1[[#This Row],[Duration]]&lt;=10,"Under 10 mins",Table1[[#This Row],[Duration]]&lt;=30,"10 to 30 mins",Table1[[#This Row],[Duration]]&lt;=60,"30 to 60 min",Table1[[#This Row],[Duration]]&lt;=120,"1to2 hours",TRUE,"More than 2 hours")</f>
        <v>More than 2 hours</v>
      </c>
      <c r="J187" s="1">
        <f>ROUND(Table1[[#This Row],[Satisfaction Rating]],0)</f>
        <v>2</v>
      </c>
    </row>
    <row r="188" spans="1:10">
      <c r="A188" s="1" t="s">
        <v>227</v>
      </c>
      <c r="B188" s="1" t="s">
        <v>88</v>
      </c>
      <c r="C188" s="1">
        <v>162</v>
      </c>
      <c r="D188" s="1" t="s">
        <v>22</v>
      </c>
      <c r="E188" s="2">
        <v>46028</v>
      </c>
      <c r="F188" s="1">
        <v>182</v>
      </c>
      <c r="G188" s="1">
        <v>4.3</v>
      </c>
      <c r="H188" s="1" t="str">
        <f>TEXT(Table1[[#This Row],[Date of Call]],"DDDD")</f>
        <v>Tuesday</v>
      </c>
      <c r="I188" s="1" t="str" cm="1">
        <f t="array" ref="I188">_xlfn.IFS(Table1[[#This Row],[Duration]]&lt;=10,"Under 10 mins",Table1[[#This Row],[Duration]]&lt;=30,"10 to 30 mins",Table1[[#This Row],[Duration]]&lt;=60,"30 to 60 min",Table1[[#This Row],[Duration]]&lt;=120,"1to2 hours",TRUE,"More than 2 hours")</f>
        <v>More than 2 hours</v>
      </c>
      <c r="J188" s="1">
        <f>ROUND(Table1[[#This Row],[Satisfaction Rating]],0)</f>
        <v>4</v>
      </c>
    </row>
    <row r="189" spans="1:10">
      <c r="A189" s="1" t="s">
        <v>228</v>
      </c>
      <c r="B189" s="1" t="s">
        <v>44</v>
      </c>
      <c r="C189" s="1">
        <v>154</v>
      </c>
      <c r="D189" s="1" t="s">
        <v>17</v>
      </c>
      <c r="E189" s="2">
        <v>46179</v>
      </c>
      <c r="F189" s="1">
        <v>177</v>
      </c>
      <c r="G189" s="1">
        <v>3.1</v>
      </c>
      <c r="H189" s="1" t="str">
        <f>TEXT(Table1[[#This Row],[Date of Call]],"DDDD")</f>
        <v>Saturday</v>
      </c>
      <c r="I189" s="1" t="str" cm="1">
        <f t="array" ref="I189">_xlfn.IFS(Table1[[#This Row],[Duration]]&lt;=10,"Under 10 mins",Table1[[#This Row],[Duration]]&lt;=30,"10 to 30 mins",Table1[[#This Row],[Duration]]&lt;=60,"30 to 60 min",Table1[[#This Row],[Duration]]&lt;=120,"1to2 hours",TRUE,"More than 2 hours")</f>
        <v>More than 2 hours</v>
      </c>
      <c r="J189" s="1">
        <f>ROUND(Table1[[#This Row],[Satisfaction Rating]],0)</f>
        <v>3</v>
      </c>
    </row>
    <row r="190" spans="1:10">
      <c r="A190" s="1" t="s">
        <v>229</v>
      </c>
      <c r="B190" s="1" t="s">
        <v>80</v>
      </c>
      <c r="C190" s="1">
        <v>77</v>
      </c>
      <c r="D190" s="1" t="s">
        <v>27</v>
      </c>
      <c r="E190" s="2">
        <v>46179</v>
      </c>
      <c r="F190" s="1">
        <v>28</v>
      </c>
      <c r="G190" s="1">
        <v>2.8</v>
      </c>
      <c r="H190" s="1" t="str">
        <f>TEXT(Table1[[#This Row],[Date of Call]],"DDDD")</f>
        <v>Saturday</v>
      </c>
      <c r="I190" s="1" t="str" cm="1">
        <f t="array" ref="I190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190" s="1">
        <f>ROUND(Table1[[#This Row],[Satisfaction Rating]],0)</f>
        <v>3</v>
      </c>
    </row>
    <row r="191" spans="1:10">
      <c r="A191" s="1" t="s">
        <v>230</v>
      </c>
      <c r="B191" s="1" t="s">
        <v>65</v>
      </c>
      <c r="C191" s="1">
        <v>117</v>
      </c>
      <c r="D191" s="1" t="s">
        <v>13</v>
      </c>
      <c r="E191" s="2">
        <v>46060</v>
      </c>
      <c r="F191" s="1">
        <v>177</v>
      </c>
      <c r="G191" s="1">
        <v>3.8</v>
      </c>
      <c r="H191" s="1" t="str">
        <f>TEXT(Table1[[#This Row],[Date of Call]],"DDDD")</f>
        <v>Saturday</v>
      </c>
      <c r="I191" s="1" t="str" cm="1">
        <f t="array" ref="I191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191" s="1">
        <f>ROUND(Table1[[#This Row],[Satisfaction Rating]],0)</f>
        <v>4</v>
      </c>
    </row>
    <row r="192" spans="1:10">
      <c r="A192" s="1" t="s">
        <v>231</v>
      </c>
      <c r="B192" s="1" t="s">
        <v>62</v>
      </c>
      <c r="C192" s="1">
        <v>73</v>
      </c>
      <c r="D192" s="1" t="s">
        <v>13</v>
      </c>
      <c r="E192" s="2">
        <v>46029</v>
      </c>
      <c r="F192" s="1">
        <v>178</v>
      </c>
      <c r="G192" s="1">
        <v>1.8</v>
      </c>
      <c r="H192" s="1" t="str">
        <f>TEXT(Table1[[#This Row],[Date of Call]],"DDDD")</f>
        <v>Wednesday</v>
      </c>
      <c r="I192" s="1" t="str" cm="1">
        <f t="array" ref="I192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192" s="1">
        <f>ROUND(Table1[[#This Row],[Satisfaction Rating]],0)</f>
        <v>2</v>
      </c>
    </row>
    <row r="193" spans="1:10">
      <c r="A193" s="1" t="s">
        <v>232</v>
      </c>
      <c r="B193" s="1" t="s">
        <v>50</v>
      </c>
      <c r="C193" s="1">
        <v>113</v>
      </c>
      <c r="D193" s="1" t="s">
        <v>13</v>
      </c>
      <c r="E193" s="2">
        <v>46149</v>
      </c>
      <c r="F193" s="1">
        <v>19</v>
      </c>
      <c r="G193" s="1">
        <v>1.5</v>
      </c>
      <c r="H193" s="1" t="str">
        <f>TEXT(Table1[[#This Row],[Date of Call]],"DDDD")</f>
        <v>Thursday</v>
      </c>
      <c r="I193" s="1" t="str" cm="1">
        <f t="array" ref="I193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193" s="1">
        <f>ROUND(Table1[[#This Row],[Satisfaction Rating]],0)</f>
        <v>2</v>
      </c>
    </row>
    <row r="194" spans="1:10">
      <c r="A194" s="1" t="s">
        <v>233</v>
      </c>
      <c r="B194" s="1" t="s">
        <v>26</v>
      </c>
      <c r="C194" s="1">
        <v>55</v>
      </c>
      <c r="D194" s="1" t="s">
        <v>37</v>
      </c>
      <c r="E194" s="2">
        <v>46120</v>
      </c>
      <c r="F194" s="1">
        <v>19</v>
      </c>
      <c r="G194" s="1">
        <v>4.4000000000000004</v>
      </c>
      <c r="H194" s="1" t="str">
        <f>TEXT(Table1[[#This Row],[Date of Call]],"DDDD")</f>
        <v>Wednesday</v>
      </c>
      <c r="I194" s="1" t="str" cm="1">
        <f t="array" ref="I194">_xlfn.IFS(Table1[[#This Row],[Duration]]&lt;=10,"Under 10 mins",Table1[[#This Row],[Duration]]&lt;=30,"10 to 30 mins",Table1[[#This Row],[Duration]]&lt;=60,"30 to 60 min",Table1[[#This Row],[Duration]]&lt;=120,"1to2 hours",TRUE,"More than 2 hours")</f>
        <v>30 to 60 min</v>
      </c>
      <c r="J194" s="1">
        <f>ROUND(Table1[[#This Row],[Satisfaction Rating]],0)</f>
        <v>4</v>
      </c>
    </row>
    <row r="195" spans="1:10">
      <c r="A195" s="1" t="s">
        <v>234</v>
      </c>
      <c r="B195" s="1" t="s">
        <v>73</v>
      </c>
      <c r="C195" s="1">
        <v>35</v>
      </c>
      <c r="D195" s="1" t="s">
        <v>13</v>
      </c>
      <c r="E195" s="2">
        <v>46061</v>
      </c>
      <c r="F195" s="1">
        <v>69</v>
      </c>
      <c r="G195" s="1">
        <v>2.5</v>
      </c>
      <c r="H195" s="1" t="str">
        <f>TEXT(Table1[[#This Row],[Date of Call]],"DDDD")</f>
        <v>Sunday</v>
      </c>
      <c r="I195" s="1" t="str" cm="1">
        <f t="array" ref="I195">_xlfn.IFS(Table1[[#This Row],[Duration]]&lt;=10,"Under 10 mins",Table1[[#This Row],[Duration]]&lt;=30,"10 to 30 mins",Table1[[#This Row],[Duration]]&lt;=60,"30 to 60 min",Table1[[#This Row],[Duration]]&lt;=120,"1to2 hours",TRUE,"More than 2 hours")</f>
        <v>30 to 60 min</v>
      </c>
      <c r="J195" s="1">
        <f>ROUND(Table1[[#This Row],[Satisfaction Rating]],0)</f>
        <v>3</v>
      </c>
    </row>
    <row r="196" spans="1:10">
      <c r="A196" s="1" t="s">
        <v>235</v>
      </c>
      <c r="B196" s="1" t="s">
        <v>50</v>
      </c>
      <c r="C196" s="1">
        <v>152</v>
      </c>
      <c r="D196" s="1" t="s">
        <v>17</v>
      </c>
      <c r="E196" s="2">
        <v>46030</v>
      </c>
      <c r="F196" s="1">
        <v>39</v>
      </c>
      <c r="G196" s="1">
        <v>4.5</v>
      </c>
      <c r="H196" s="1" t="str">
        <f>TEXT(Table1[[#This Row],[Date of Call]],"DDDD")</f>
        <v>Thursday</v>
      </c>
      <c r="I196" s="1" t="str" cm="1">
        <f t="array" ref="I196">_xlfn.IFS(Table1[[#This Row],[Duration]]&lt;=10,"Under 10 mins",Table1[[#This Row],[Duration]]&lt;=30,"10 to 30 mins",Table1[[#This Row],[Duration]]&lt;=60,"30 to 60 min",Table1[[#This Row],[Duration]]&lt;=120,"1to2 hours",TRUE,"More than 2 hours")</f>
        <v>More than 2 hours</v>
      </c>
      <c r="J196" s="1">
        <f>ROUND(Table1[[#This Row],[Satisfaction Rating]],0)</f>
        <v>5</v>
      </c>
    </row>
    <row r="197" spans="1:10">
      <c r="A197" s="1" t="s">
        <v>236</v>
      </c>
      <c r="B197" s="1" t="s">
        <v>35</v>
      </c>
      <c r="C197" s="1">
        <v>112</v>
      </c>
      <c r="D197" s="1" t="s">
        <v>17</v>
      </c>
      <c r="E197" s="2">
        <v>46030</v>
      </c>
      <c r="F197" s="1">
        <v>136</v>
      </c>
      <c r="G197" s="1">
        <v>4.4000000000000004</v>
      </c>
      <c r="H197" s="1" t="str">
        <f>TEXT(Table1[[#This Row],[Date of Call]],"DDDD")</f>
        <v>Thursday</v>
      </c>
      <c r="I197" s="1" t="str" cm="1">
        <f t="array" ref="I197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197" s="1">
        <f>ROUND(Table1[[#This Row],[Satisfaction Rating]],0)</f>
        <v>4</v>
      </c>
    </row>
    <row r="198" spans="1:10">
      <c r="A198" s="1" t="s">
        <v>237</v>
      </c>
      <c r="B198" s="1" t="s">
        <v>47</v>
      </c>
      <c r="C198" s="1">
        <v>139</v>
      </c>
      <c r="D198" s="1" t="s">
        <v>37</v>
      </c>
      <c r="E198" s="2">
        <v>46030</v>
      </c>
      <c r="F198" s="1">
        <v>171</v>
      </c>
      <c r="G198" s="1">
        <v>3.4</v>
      </c>
      <c r="H198" s="1" t="str">
        <f>TEXT(Table1[[#This Row],[Date of Call]],"DDDD")</f>
        <v>Thursday</v>
      </c>
      <c r="I198" s="1" t="str" cm="1">
        <f t="array" ref="I198">_xlfn.IFS(Table1[[#This Row],[Duration]]&lt;=10,"Under 10 mins",Table1[[#This Row],[Duration]]&lt;=30,"10 to 30 mins",Table1[[#This Row],[Duration]]&lt;=60,"30 to 60 min",Table1[[#This Row],[Duration]]&lt;=120,"1to2 hours",TRUE,"More than 2 hours")</f>
        <v>More than 2 hours</v>
      </c>
      <c r="J198" s="1">
        <f>ROUND(Table1[[#This Row],[Satisfaction Rating]],0)</f>
        <v>3</v>
      </c>
    </row>
    <row r="199" spans="1:10">
      <c r="A199" s="1" t="s">
        <v>238</v>
      </c>
      <c r="B199" s="1" t="s">
        <v>19</v>
      </c>
      <c r="C199" s="1">
        <v>148</v>
      </c>
      <c r="D199" s="1" t="s">
        <v>17</v>
      </c>
      <c r="E199" s="2">
        <v>46089</v>
      </c>
      <c r="F199" s="1">
        <v>62</v>
      </c>
      <c r="G199" s="1">
        <v>3.7</v>
      </c>
      <c r="H199" s="1" t="str">
        <f>TEXT(Table1[[#This Row],[Date of Call]],"DDDD")</f>
        <v>Sunday</v>
      </c>
      <c r="I199" s="1" t="str" cm="1">
        <f t="array" ref="I199">_xlfn.IFS(Table1[[#This Row],[Duration]]&lt;=10,"Under 10 mins",Table1[[#This Row],[Duration]]&lt;=30,"10 to 30 mins",Table1[[#This Row],[Duration]]&lt;=60,"30 to 60 min",Table1[[#This Row],[Duration]]&lt;=120,"1to2 hours",TRUE,"More than 2 hours")</f>
        <v>More than 2 hours</v>
      </c>
      <c r="J199" s="1">
        <f>ROUND(Table1[[#This Row],[Satisfaction Rating]],0)</f>
        <v>4</v>
      </c>
    </row>
    <row r="200" spans="1:10">
      <c r="A200" s="1" t="s">
        <v>239</v>
      </c>
      <c r="B200" s="1" t="s">
        <v>29</v>
      </c>
      <c r="C200" s="1">
        <v>136</v>
      </c>
      <c r="D200" s="1" t="s">
        <v>27</v>
      </c>
      <c r="E200" s="2">
        <v>46089</v>
      </c>
      <c r="F200" s="1">
        <v>73</v>
      </c>
      <c r="G200" s="1">
        <v>4.4000000000000004</v>
      </c>
      <c r="H200" s="1" t="str">
        <f>TEXT(Table1[[#This Row],[Date of Call]],"DDDD")</f>
        <v>Sunday</v>
      </c>
      <c r="I200" s="1" t="str" cm="1">
        <f t="array" ref="I200">_xlfn.IFS(Table1[[#This Row],[Duration]]&lt;=10,"Under 10 mins",Table1[[#This Row],[Duration]]&lt;=30,"10 to 30 mins",Table1[[#This Row],[Duration]]&lt;=60,"30 to 60 min",Table1[[#This Row],[Duration]]&lt;=120,"1to2 hours",TRUE,"More than 2 hours")</f>
        <v>More than 2 hours</v>
      </c>
      <c r="J200" s="1">
        <f>ROUND(Table1[[#This Row],[Satisfaction Rating]],0)</f>
        <v>4</v>
      </c>
    </row>
    <row r="201" spans="1:10">
      <c r="A201" s="1" t="s">
        <v>240</v>
      </c>
      <c r="B201" s="1" t="s">
        <v>50</v>
      </c>
      <c r="C201" s="1">
        <v>173</v>
      </c>
      <c r="D201" s="1" t="s">
        <v>13</v>
      </c>
      <c r="E201" s="2">
        <v>46150</v>
      </c>
      <c r="F201" s="1">
        <v>159</v>
      </c>
      <c r="G201" s="1">
        <v>1.6</v>
      </c>
      <c r="H201" s="1" t="str">
        <f>TEXT(Table1[[#This Row],[Date of Call]],"DDDD")</f>
        <v>Friday</v>
      </c>
      <c r="I201" s="1" t="str" cm="1">
        <f t="array" ref="I201">_xlfn.IFS(Table1[[#This Row],[Duration]]&lt;=10,"Under 10 mins",Table1[[#This Row],[Duration]]&lt;=30,"10 to 30 mins",Table1[[#This Row],[Duration]]&lt;=60,"30 to 60 min",Table1[[#This Row],[Duration]]&lt;=120,"1to2 hours",TRUE,"More than 2 hours")</f>
        <v>More than 2 hours</v>
      </c>
      <c r="J201" s="1">
        <f>ROUND(Table1[[#This Row],[Satisfaction Rating]],0)</f>
        <v>2</v>
      </c>
    </row>
    <row r="202" spans="1:10">
      <c r="A202" s="1" t="s">
        <v>241</v>
      </c>
      <c r="B202" s="1" t="s">
        <v>47</v>
      </c>
      <c r="C202" s="1">
        <v>76</v>
      </c>
      <c r="D202" s="1" t="s">
        <v>22</v>
      </c>
      <c r="E202" s="2">
        <v>46121</v>
      </c>
      <c r="F202" s="1">
        <v>69</v>
      </c>
      <c r="G202" s="1">
        <v>4.4000000000000004</v>
      </c>
      <c r="H202" s="1" t="str">
        <f>TEXT(Table1[[#This Row],[Date of Call]],"DDDD")</f>
        <v>Thursday</v>
      </c>
      <c r="I202" s="1" t="str" cm="1">
        <f t="array" ref="I202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202" s="1">
        <f>ROUND(Table1[[#This Row],[Satisfaction Rating]],0)</f>
        <v>4</v>
      </c>
    </row>
    <row r="203" spans="1:10">
      <c r="A203" s="1" t="s">
        <v>242</v>
      </c>
      <c r="B203" s="1" t="s">
        <v>29</v>
      </c>
      <c r="C203" s="1">
        <v>157</v>
      </c>
      <c r="D203" s="1" t="s">
        <v>27</v>
      </c>
      <c r="E203" s="2">
        <v>46062</v>
      </c>
      <c r="F203" s="1">
        <v>58</v>
      </c>
      <c r="G203" s="1">
        <v>2.2000000000000002</v>
      </c>
      <c r="H203" s="1" t="str">
        <f>TEXT(Table1[[#This Row],[Date of Call]],"DDDD")</f>
        <v>Monday</v>
      </c>
      <c r="I203" s="1" t="str" cm="1">
        <f t="array" ref="I203">_xlfn.IFS(Table1[[#This Row],[Duration]]&lt;=10,"Under 10 mins",Table1[[#This Row],[Duration]]&lt;=30,"10 to 30 mins",Table1[[#This Row],[Duration]]&lt;=60,"30 to 60 min",Table1[[#This Row],[Duration]]&lt;=120,"1to2 hours",TRUE,"More than 2 hours")</f>
        <v>More than 2 hours</v>
      </c>
      <c r="J203" s="1">
        <f>ROUND(Table1[[#This Row],[Satisfaction Rating]],0)</f>
        <v>2</v>
      </c>
    </row>
    <row r="204" spans="1:10">
      <c r="A204" s="1" t="s">
        <v>243</v>
      </c>
      <c r="B204" s="1" t="s">
        <v>33</v>
      </c>
      <c r="C204" s="1">
        <v>103</v>
      </c>
      <c r="D204" s="1" t="s">
        <v>22</v>
      </c>
      <c r="E204" s="2">
        <v>46090</v>
      </c>
      <c r="F204" s="1">
        <v>21</v>
      </c>
      <c r="G204" s="1">
        <v>3.9</v>
      </c>
      <c r="H204" s="1" t="str">
        <f>TEXT(Table1[[#This Row],[Date of Call]],"DDDD")</f>
        <v>Monday</v>
      </c>
      <c r="I204" s="1" t="str" cm="1">
        <f t="array" ref="I204">_xlfn.IFS(Table1[[#This Row],[Duration]]&lt;=10,"Under 10 mins",Table1[[#This Row],[Duration]]&lt;=30,"10 to 30 mins",Table1[[#This Row],[Duration]]&lt;=60,"30 to 60 min",Table1[[#This Row],[Duration]]&lt;=120,"1to2 hours",TRUE,"More than 2 hours")</f>
        <v>1to2 hours</v>
      </c>
      <c r="J204" s="1">
        <f>ROUND(Table1[[#This Row],[Satisfaction Rating]],0)</f>
        <v>4</v>
      </c>
    </row>
    <row r="205" spans="1:10">
      <c r="A205" s="1" t="s">
        <v>244</v>
      </c>
      <c r="B205" s="1" t="s">
        <v>26</v>
      </c>
      <c r="C205" s="1">
        <v>60</v>
      </c>
      <c r="D205" s="1" t="s">
        <v>22</v>
      </c>
      <c r="E205" s="2">
        <v>46090</v>
      </c>
      <c r="F205" s="1">
        <v>19</v>
      </c>
      <c r="G205" s="1">
        <v>1.4</v>
      </c>
      <c r="H205" s="1" t="str">
        <f>TEXT(Table1[[#This Row],[Date of Call]],"DDDD")</f>
        <v>Monday</v>
      </c>
      <c r="I205" s="1" t="str" cm="1">
        <f t="array" ref="I205">_xlfn.IFS(Table1[[#This Row],[Duration]]&lt;=10,"Under 10 mins",Table1[[#This Row],[Duration]]&lt;=30,"10 to 30 mins",Table1[[#This Row],[Duration]]&lt;=60,"30 to 60 min",Table1[[#This Row],[Duration]]&lt;=120,"1to2 hours",TRUE,"More than 2 hours")</f>
        <v>30 to 60 min</v>
      </c>
      <c r="J205" s="1">
        <f>ROUND(Table1[[#This Row],[Satisfaction Rating]],0)</f>
        <v>1</v>
      </c>
    </row>
    <row r="206" spans="1:10">
      <c r="A206" s="1" t="s">
        <v>245</v>
      </c>
      <c r="B206" s="1" t="s">
        <v>44</v>
      </c>
      <c r="C206" s="1">
        <v>15</v>
      </c>
      <c r="D206" s="1" t="s">
        <v>17</v>
      </c>
      <c r="E206" s="2">
        <v>46151</v>
      </c>
      <c r="F206" s="1">
        <v>55</v>
      </c>
      <c r="G206" s="1">
        <v>3</v>
      </c>
      <c r="H206" s="1" t="str">
        <f>TEXT(Table1[[#This Row],[Date of Call]],"DDDD")</f>
        <v>Saturday</v>
      </c>
      <c r="I206" s="1" t="str" cm="1">
        <f t="array" ref="I206">_xlfn.IFS(Table1[[#This Row],[Duration]]&lt;=10,"Under 10 mins",Table1[[#This Row],[Duration]]&lt;=30,"10 to 30 mins",Table1[[#This Row],[Duration]]&lt;=60,"30 to 60 min",Table1[[#This Row],[Duration]]&lt;=120,"1to2 hours",TRUE,"More than 2 hours")</f>
        <v>10 to 30 mins</v>
      </c>
      <c r="J206" s="1">
        <f>ROUND(Table1[[#This Row],[Satisfaction Rating]],0)</f>
        <v>3</v>
      </c>
    </row>
  </sheetData>
  <mergeCells count="1">
    <mergeCell ref="B3:D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E8258-1632-4C8D-9503-73A923FB3F9B}">
  <dimension ref="A3:N18"/>
  <sheetViews>
    <sheetView workbookViewId="0">
      <selection activeCell="N18" sqref="N18"/>
    </sheetView>
  </sheetViews>
  <sheetFormatPr defaultRowHeight="15"/>
  <cols>
    <col min="1" max="1" width="15" bestFit="1" customWidth="1"/>
    <col min="2" max="2" width="23.42578125" bestFit="1" customWidth="1"/>
  </cols>
  <sheetData>
    <row r="3" spans="1:2">
      <c r="A3" s="4" t="s">
        <v>2</v>
      </c>
      <c r="B3" t="s">
        <v>246</v>
      </c>
    </row>
    <row r="4" spans="1:2">
      <c r="A4" t="s">
        <v>44</v>
      </c>
      <c r="B4" s="7">
        <v>493</v>
      </c>
    </row>
    <row r="5" spans="1:2">
      <c r="A5" t="s">
        <v>80</v>
      </c>
      <c r="B5" s="7">
        <v>431</v>
      </c>
    </row>
    <row r="6" spans="1:2">
      <c r="A6" t="s">
        <v>106</v>
      </c>
      <c r="B6" s="7">
        <v>355</v>
      </c>
    </row>
    <row r="7" spans="1:2">
      <c r="A7" t="s">
        <v>19</v>
      </c>
      <c r="B7" s="7">
        <v>353</v>
      </c>
    </row>
    <row r="8" spans="1:2">
      <c r="A8" t="s">
        <v>21</v>
      </c>
      <c r="B8" s="7">
        <v>329</v>
      </c>
    </row>
    <row r="9" spans="1:2">
      <c r="A9" t="s">
        <v>35</v>
      </c>
      <c r="B9" s="7">
        <v>307</v>
      </c>
    </row>
    <row r="10" spans="1:2">
      <c r="A10" t="s">
        <v>73</v>
      </c>
      <c r="B10" s="7">
        <v>292</v>
      </c>
    </row>
    <row r="11" spans="1:2">
      <c r="A11" t="s">
        <v>88</v>
      </c>
      <c r="B11" s="7">
        <v>237</v>
      </c>
    </row>
    <row r="12" spans="1:2">
      <c r="A12" t="s">
        <v>86</v>
      </c>
      <c r="B12" s="7">
        <v>235</v>
      </c>
    </row>
    <row r="13" spans="1:2">
      <c r="A13" t="s">
        <v>40</v>
      </c>
      <c r="B13" s="7">
        <v>223</v>
      </c>
    </row>
    <row r="14" spans="1:2">
      <c r="A14" t="s">
        <v>247</v>
      </c>
      <c r="B14" s="7">
        <v>3255</v>
      </c>
    </row>
    <row r="18" spans="14:14">
      <c r="N18" s="15" t="s">
        <v>30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636BB-78E9-4A5C-9059-BCC6D0A60ECE}">
  <dimension ref="A3:P225"/>
  <sheetViews>
    <sheetView topLeftCell="B1" workbookViewId="0">
      <selection activeCell="P5" sqref="P5"/>
    </sheetView>
  </sheetViews>
  <sheetFormatPr defaultRowHeight="15"/>
  <cols>
    <col min="1" max="1" width="14.28515625" bestFit="1" customWidth="1"/>
    <col min="2" max="2" width="17.5703125" bestFit="1" customWidth="1"/>
    <col min="3" max="3" width="20" bestFit="1" customWidth="1"/>
    <col min="4" max="6" width="4.28515625" bestFit="1" customWidth="1"/>
    <col min="7" max="7" width="14.28515625" bestFit="1" customWidth="1"/>
    <col min="8" max="8" width="23.42578125" bestFit="1" customWidth="1"/>
  </cols>
  <sheetData>
    <row r="3" spans="1:16">
      <c r="A3" s="4" t="s">
        <v>5</v>
      </c>
      <c r="B3" s="4" t="s">
        <v>4</v>
      </c>
      <c r="C3" t="s">
        <v>248</v>
      </c>
    </row>
    <row r="4" spans="1:16">
      <c r="A4" s="8">
        <v>46028</v>
      </c>
      <c r="B4" t="s">
        <v>22</v>
      </c>
      <c r="C4" s="5">
        <v>1</v>
      </c>
    </row>
    <row r="5" spans="1:16">
      <c r="A5" s="8" t="s">
        <v>249</v>
      </c>
      <c r="C5" s="5">
        <v>1</v>
      </c>
      <c r="P5" s="15" t="s">
        <v>30</v>
      </c>
    </row>
    <row r="6" spans="1:16">
      <c r="A6" s="8">
        <v>46029</v>
      </c>
      <c r="B6" t="s">
        <v>13</v>
      </c>
      <c r="C6" s="5">
        <v>1</v>
      </c>
    </row>
    <row r="7" spans="1:16">
      <c r="A7" s="8" t="s">
        <v>250</v>
      </c>
      <c r="C7" s="5">
        <v>1</v>
      </c>
    </row>
    <row r="8" spans="1:16">
      <c r="A8" s="8">
        <v>46032</v>
      </c>
      <c r="B8" t="s">
        <v>22</v>
      </c>
      <c r="C8" s="5">
        <v>2</v>
      </c>
    </row>
    <row r="9" spans="1:16">
      <c r="A9" s="8" t="s">
        <v>251</v>
      </c>
      <c r="C9" s="5">
        <v>2</v>
      </c>
    </row>
    <row r="10" spans="1:16">
      <c r="A10" s="8">
        <v>46033</v>
      </c>
      <c r="B10" t="s">
        <v>13</v>
      </c>
      <c r="C10" s="5">
        <v>1</v>
      </c>
    </row>
    <row r="11" spans="1:16">
      <c r="B11" t="s">
        <v>22</v>
      </c>
      <c r="C11" s="5">
        <v>2</v>
      </c>
    </row>
    <row r="12" spans="1:16">
      <c r="A12" s="8" t="s">
        <v>252</v>
      </c>
      <c r="C12" s="5">
        <v>3</v>
      </c>
    </row>
    <row r="13" spans="1:16">
      <c r="A13" s="8">
        <v>46036</v>
      </c>
      <c r="B13" t="s">
        <v>22</v>
      </c>
      <c r="C13" s="5">
        <v>1</v>
      </c>
    </row>
    <row r="14" spans="1:16">
      <c r="A14" s="8" t="s">
        <v>253</v>
      </c>
      <c r="C14" s="5">
        <v>1</v>
      </c>
    </row>
    <row r="15" spans="1:16">
      <c r="A15" s="8">
        <v>46037</v>
      </c>
      <c r="B15" t="s">
        <v>13</v>
      </c>
      <c r="C15" s="5">
        <v>1</v>
      </c>
    </row>
    <row r="16" spans="1:16">
      <c r="A16" s="8" t="s">
        <v>254</v>
      </c>
      <c r="C16" s="5">
        <v>1</v>
      </c>
    </row>
    <row r="17" spans="1:8">
      <c r="A17" s="8">
        <v>46038</v>
      </c>
      <c r="B17" t="s">
        <v>22</v>
      </c>
      <c r="C17" s="5">
        <v>1</v>
      </c>
    </row>
    <row r="18" spans="1:8">
      <c r="A18" s="8" t="s">
        <v>255</v>
      </c>
      <c r="C18" s="5">
        <v>1</v>
      </c>
    </row>
    <row r="19" spans="1:8">
      <c r="A19" s="8">
        <v>46040</v>
      </c>
      <c r="B19" t="s">
        <v>13</v>
      </c>
      <c r="C19" s="5">
        <v>1</v>
      </c>
    </row>
    <row r="20" spans="1:8">
      <c r="A20" s="8" t="s">
        <v>256</v>
      </c>
      <c r="C20" s="5">
        <v>1</v>
      </c>
    </row>
    <row r="21" spans="1:8">
      <c r="A21" s="8">
        <v>46041</v>
      </c>
      <c r="B21" t="s">
        <v>13</v>
      </c>
      <c r="C21" s="5">
        <v>1</v>
      </c>
    </row>
    <row r="22" spans="1:8">
      <c r="A22" s="8" t="s">
        <v>257</v>
      </c>
      <c r="C22" s="5">
        <v>1</v>
      </c>
    </row>
    <row r="23" spans="1:8">
      <c r="A23" s="8">
        <v>46042</v>
      </c>
      <c r="B23" t="s">
        <v>13</v>
      </c>
      <c r="C23" s="5">
        <v>1</v>
      </c>
    </row>
    <row r="24" spans="1:8">
      <c r="A24" s="8" t="s">
        <v>258</v>
      </c>
      <c r="C24" s="5">
        <v>1</v>
      </c>
    </row>
    <row r="25" spans="1:8">
      <c r="A25" s="8">
        <v>46043</v>
      </c>
      <c r="B25" t="s">
        <v>22</v>
      </c>
      <c r="C25" s="5">
        <v>1</v>
      </c>
      <c r="G25" s="4" t="s">
        <v>5</v>
      </c>
      <c r="H25" t="s">
        <v>246</v>
      </c>
    </row>
    <row r="26" spans="1:8">
      <c r="A26" s="8" t="s">
        <v>259</v>
      </c>
      <c r="C26" s="5">
        <v>1</v>
      </c>
      <c r="G26" s="8">
        <v>46028</v>
      </c>
      <c r="H26" s="5">
        <v>182</v>
      </c>
    </row>
    <row r="27" spans="1:8">
      <c r="A27" s="8">
        <v>46045</v>
      </c>
      <c r="B27" t="s">
        <v>22</v>
      </c>
      <c r="C27" s="5">
        <v>1</v>
      </c>
      <c r="G27" s="8">
        <v>46029</v>
      </c>
      <c r="H27" s="5">
        <v>178</v>
      </c>
    </row>
    <row r="28" spans="1:8">
      <c r="A28" s="8" t="s">
        <v>260</v>
      </c>
      <c r="C28" s="5">
        <v>1</v>
      </c>
      <c r="G28" s="8">
        <v>46032</v>
      </c>
      <c r="H28" s="5">
        <v>230</v>
      </c>
    </row>
    <row r="29" spans="1:8">
      <c r="A29" s="8">
        <v>46052</v>
      </c>
      <c r="B29" t="s">
        <v>22</v>
      </c>
      <c r="C29" s="5">
        <v>1</v>
      </c>
      <c r="G29" s="8">
        <v>46033</v>
      </c>
      <c r="H29" s="5">
        <v>306</v>
      </c>
    </row>
    <row r="30" spans="1:8">
      <c r="A30" s="8" t="s">
        <v>261</v>
      </c>
      <c r="C30" s="5">
        <v>1</v>
      </c>
      <c r="G30" s="8">
        <v>46036</v>
      </c>
      <c r="H30" s="5">
        <v>99</v>
      </c>
    </row>
    <row r="31" spans="1:8">
      <c r="A31" s="8">
        <v>46055</v>
      </c>
      <c r="B31" t="s">
        <v>13</v>
      </c>
      <c r="C31" s="5">
        <v>1</v>
      </c>
      <c r="G31" s="8">
        <v>46037</v>
      </c>
      <c r="H31" s="5">
        <v>71</v>
      </c>
    </row>
    <row r="32" spans="1:8">
      <c r="B32" t="s">
        <v>22</v>
      </c>
      <c r="C32" s="5">
        <v>1</v>
      </c>
      <c r="G32" s="8">
        <v>46038</v>
      </c>
      <c r="H32" s="5">
        <v>90</v>
      </c>
    </row>
    <row r="33" spans="1:8">
      <c r="A33" s="8" t="s">
        <v>262</v>
      </c>
      <c r="C33" s="5">
        <v>2</v>
      </c>
      <c r="G33" s="8">
        <v>46040</v>
      </c>
      <c r="H33" s="5">
        <v>162</v>
      </c>
    </row>
    <row r="34" spans="1:8">
      <c r="A34" s="8">
        <v>46056</v>
      </c>
      <c r="B34" t="s">
        <v>22</v>
      </c>
      <c r="C34" s="5">
        <v>2</v>
      </c>
      <c r="G34" s="8">
        <v>46041</v>
      </c>
      <c r="H34" s="5">
        <v>25</v>
      </c>
    </row>
    <row r="35" spans="1:8">
      <c r="A35" s="8" t="s">
        <v>263</v>
      </c>
      <c r="C35" s="5">
        <v>2</v>
      </c>
      <c r="G35" s="8">
        <v>46042</v>
      </c>
      <c r="H35" s="5">
        <v>161</v>
      </c>
    </row>
    <row r="36" spans="1:8">
      <c r="A36" s="8">
        <v>46060</v>
      </c>
      <c r="B36" t="s">
        <v>13</v>
      </c>
      <c r="C36" s="5">
        <v>1</v>
      </c>
      <c r="G36" s="8">
        <v>46043</v>
      </c>
      <c r="H36" s="5">
        <v>117</v>
      </c>
    </row>
    <row r="37" spans="1:8">
      <c r="A37" s="8" t="s">
        <v>264</v>
      </c>
      <c r="C37" s="5">
        <v>1</v>
      </c>
      <c r="G37" s="8">
        <v>46045</v>
      </c>
      <c r="H37" s="5">
        <v>161</v>
      </c>
    </row>
    <row r="38" spans="1:8">
      <c r="A38" s="8">
        <v>46061</v>
      </c>
      <c r="B38" t="s">
        <v>13</v>
      </c>
      <c r="C38" s="5">
        <v>1</v>
      </c>
      <c r="G38" s="8">
        <v>46052</v>
      </c>
      <c r="H38" s="5">
        <v>51</v>
      </c>
    </row>
    <row r="39" spans="1:8">
      <c r="A39" s="8" t="s">
        <v>265</v>
      </c>
      <c r="C39" s="5">
        <v>1</v>
      </c>
      <c r="G39" s="8">
        <v>46055</v>
      </c>
      <c r="H39" s="5">
        <v>190</v>
      </c>
    </row>
    <row r="40" spans="1:8">
      <c r="A40" s="8">
        <v>46065</v>
      </c>
      <c r="B40" t="s">
        <v>22</v>
      </c>
      <c r="C40" s="5">
        <v>1</v>
      </c>
      <c r="G40" s="8">
        <v>46056</v>
      </c>
      <c r="H40" s="5">
        <v>278</v>
      </c>
    </row>
    <row r="41" spans="1:8">
      <c r="A41" s="8" t="s">
        <v>266</v>
      </c>
      <c r="C41" s="5">
        <v>1</v>
      </c>
      <c r="G41" s="8">
        <v>46060</v>
      </c>
      <c r="H41" s="5">
        <v>177</v>
      </c>
    </row>
    <row r="42" spans="1:8">
      <c r="A42" s="8">
        <v>46067</v>
      </c>
      <c r="B42" t="s">
        <v>13</v>
      </c>
      <c r="C42" s="5">
        <v>2</v>
      </c>
      <c r="G42" s="8">
        <v>46061</v>
      </c>
      <c r="H42" s="5">
        <v>69</v>
      </c>
    </row>
    <row r="43" spans="1:8">
      <c r="A43" s="8" t="s">
        <v>267</v>
      </c>
      <c r="C43" s="5">
        <v>2</v>
      </c>
      <c r="G43" s="8">
        <v>46065</v>
      </c>
      <c r="H43" s="5">
        <v>77</v>
      </c>
    </row>
    <row r="44" spans="1:8">
      <c r="A44" s="8">
        <v>46068</v>
      </c>
      <c r="B44" t="s">
        <v>13</v>
      </c>
      <c r="C44" s="5">
        <v>1</v>
      </c>
      <c r="G44" s="8">
        <v>46067</v>
      </c>
      <c r="H44" s="5">
        <v>181</v>
      </c>
    </row>
    <row r="45" spans="1:8">
      <c r="A45" s="8" t="s">
        <v>268</v>
      </c>
      <c r="C45" s="5">
        <v>1</v>
      </c>
      <c r="G45" s="8">
        <v>46068</v>
      </c>
      <c r="H45" s="5">
        <v>115</v>
      </c>
    </row>
    <row r="46" spans="1:8">
      <c r="A46" s="8">
        <v>46071</v>
      </c>
      <c r="B46" t="s">
        <v>22</v>
      </c>
      <c r="C46" s="5">
        <v>1</v>
      </c>
      <c r="G46" s="8">
        <v>46071</v>
      </c>
      <c r="H46" s="5">
        <v>75</v>
      </c>
    </row>
    <row r="47" spans="1:8">
      <c r="A47" s="8" t="s">
        <v>269</v>
      </c>
      <c r="C47" s="5">
        <v>1</v>
      </c>
      <c r="G47" s="8">
        <v>46072</v>
      </c>
      <c r="H47" s="5">
        <v>193</v>
      </c>
    </row>
    <row r="48" spans="1:8">
      <c r="A48" s="8">
        <v>46072</v>
      </c>
      <c r="B48" t="s">
        <v>22</v>
      </c>
      <c r="C48" s="5">
        <v>1</v>
      </c>
      <c r="G48" s="8">
        <v>46076</v>
      </c>
      <c r="H48" s="5">
        <v>193</v>
      </c>
    </row>
    <row r="49" spans="1:8">
      <c r="A49" s="8" t="s">
        <v>270</v>
      </c>
      <c r="C49" s="5">
        <v>1</v>
      </c>
      <c r="G49" s="8">
        <v>46078</v>
      </c>
      <c r="H49" s="5">
        <v>199</v>
      </c>
    </row>
    <row r="50" spans="1:8">
      <c r="A50" s="8">
        <v>46076</v>
      </c>
      <c r="B50" t="s">
        <v>22</v>
      </c>
      <c r="C50" s="5">
        <v>1</v>
      </c>
      <c r="G50" s="8">
        <v>46082</v>
      </c>
      <c r="H50" s="5">
        <v>139</v>
      </c>
    </row>
    <row r="51" spans="1:8">
      <c r="A51" s="8" t="s">
        <v>271</v>
      </c>
      <c r="C51" s="5">
        <v>1</v>
      </c>
      <c r="G51" s="8">
        <v>46085</v>
      </c>
      <c r="H51" s="5">
        <v>145</v>
      </c>
    </row>
    <row r="52" spans="1:8">
      <c r="A52" s="8">
        <v>46078</v>
      </c>
      <c r="B52" t="s">
        <v>13</v>
      </c>
      <c r="C52" s="5">
        <v>1</v>
      </c>
      <c r="G52" s="8">
        <v>46090</v>
      </c>
      <c r="H52" s="5">
        <v>40</v>
      </c>
    </row>
    <row r="53" spans="1:8">
      <c r="A53" s="8" t="s">
        <v>272</v>
      </c>
      <c r="C53" s="5">
        <v>1</v>
      </c>
      <c r="G53" s="8">
        <v>46092</v>
      </c>
      <c r="H53" s="5">
        <v>95</v>
      </c>
    </row>
    <row r="54" spans="1:8">
      <c r="A54" s="8">
        <v>46082</v>
      </c>
      <c r="B54" t="s">
        <v>13</v>
      </c>
      <c r="C54" s="5">
        <v>1</v>
      </c>
      <c r="G54" s="8">
        <v>46093</v>
      </c>
      <c r="H54" s="5">
        <v>21</v>
      </c>
    </row>
    <row r="55" spans="1:8">
      <c r="A55" s="8" t="s">
        <v>273</v>
      </c>
      <c r="C55" s="5">
        <v>1</v>
      </c>
      <c r="G55" s="8">
        <v>46096</v>
      </c>
      <c r="H55" s="5">
        <v>122</v>
      </c>
    </row>
    <row r="56" spans="1:8">
      <c r="A56" s="8">
        <v>46085</v>
      </c>
      <c r="B56" t="s">
        <v>13</v>
      </c>
      <c r="C56" s="5">
        <v>1</v>
      </c>
      <c r="G56" s="8">
        <v>46099</v>
      </c>
      <c r="H56" s="5">
        <v>173</v>
      </c>
    </row>
    <row r="57" spans="1:8">
      <c r="A57" s="8" t="s">
        <v>274</v>
      </c>
      <c r="C57" s="5">
        <v>1</v>
      </c>
      <c r="G57" s="8">
        <v>46100</v>
      </c>
      <c r="H57" s="5">
        <v>31</v>
      </c>
    </row>
    <row r="58" spans="1:8">
      <c r="A58" s="8">
        <v>46090</v>
      </c>
      <c r="B58" t="s">
        <v>22</v>
      </c>
      <c r="C58" s="5">
        <v>2</v>
      </c>
      <c r="G58" s="8">
        <v>46101</v>
      </c>
      <c r="H58" s="5">
        <v>179</v>
      </c>
    </row>
    <row r="59" spans="1:8">
      <c r="A59" s="8" t="s">
        <v>275</v>
      </c>
      <c r="C59" s="5">
        <v>2</v>
      </c>
      <c r="G59" s="8">
        <v>46102</v>
      </c>
      <c r="H59" s="5">
        <v>180</v>
      </c>
    </row>
    <row r="60" spans="1:8">
      <c r="A60" s="8">
        <v>46092</v>
      </c>
      <c r="B60" t="s">
        <v>13</v>
      </c>
      <c r="C60" s="5">
        <v>1</v>
      </c>
      <c r="G60" s="8">
        <v>46103</v>
      </c>
      <c r="H60" s="5">
        <v>179</v>
      </c>
    </row>
    <row r="61" spans="1:8">
      <c r="A61" s="8" t="s">
        <v>276</v>
      </c>
      <c r="C61" s="5">
        <v>1</v>
      </c>
      <c r="G61" s="8">
        <v>46107</v>
      </c>
      <c r="H61" s="5">
        <v>115</v>
      </c>
    </row>
    <row r="62" spans="1:8">
      <c r="A62" s="8">
        <v>46093</v>
      </c>
      <c r="B62" t="s">
        <v>13</v>
      </c>
      <c r="C62" s="5">
        <v>1</v>
      </c>
      <c r="G62" s="8">
        <v>46108</v>
      </c>
      <c r="H62" s="5">
        <v>33</v>
      </c>
    </row>
    <row r="63" spans="1:8">
      <c r="A63" s="8" t="s">
        <v>277</v>
      </c>
      <c r="C63" s="5">
        <v>1</v>
      </c>
      <c r="G63" s="8">
        <v>46111</v>
      </c>
      <c r="H63" s="5">
        <v>118</v>
      </c>
    </row>
    <row r="64" spans="1:8">
      <c r="A64" s="8">
        <v>46096</v>
      </c>
      <c r="B64" t="s">
        <v>22</v>
      </c>
      <c r="C64" s="5">
        <v>1</v>
      </c>
      <c r="G64" s="8">
        <v>46113</v>
      </c>
      <c r="H64" s="5">
        <v>76</v>
      </c>
    </row>
    <row r="65" spans="1:8">
      <c r="A65" s="8" t="s">
        <v>278</v>
      </c>
      <c r="C65" s="5">
        <v>1</v>
      </c>
      <c r="G65" s="8">
        <v>46121</v>
      </c>
      <c r="H65" s="5">
        <v>69</v>
      </c>
    </row>
    <row r="66" spans="1:8">
      <c r="A66" s="8">
        <v>46099</v>
      </c>
      <c r="B66" t="s">
        <v>22</v>
      </c>
      <c r="C66" s="5">
        <v>1</v>
      </c>
      <c r="G66" s="8">
        <v>46125</v>
      </c>
      <c r="H66" s="5">
        <v>127</v>
      </c>
    </row>
    <row r="67" spans="1:8">
      <c r="A67" s="8" t="s">
        <v>279</v>
      </c>
      <c r="C67" s="5">
        <v>1</v>
      </c>
      <c r="G67" s="8">
        <v>46127</v>
      </c>
      <c r="H67" s="5">
        <v>480</v>
      </c>
    </row>
    <row r="68" spans="1:8">
      <c r="A68" s="8">
        <v>46100</v>
      </c>
      <c r="B68" t="s">
        <v>22</v>
      </c>
      <c r="C68" s="5">
        <v>1</v>
      </c>
      <c r="G68" s="8">
        <v>46130</v>
      </c>
      <c r="H68" s="5">
        <v>66</v>
      </c>
    </row>
    <row r="69" spans="1:8">
      <c r="A69" s="8" t="s">
        <v>280</v>
      </c>
      <c r="C69" s="5">
        <v>1</v>
      </c>
      <c r="G69" s="8">
        <v>46132</v>
      </c>
      <c r="H69" s="5">
        <v>153</v>
      </c>
    </row>
    <row r="70" spans="1:8">
      <c r="A70" s="8">
        <v>46101</v>
      </c>
      <c r="B70" t="s">
        <v>13</v>
      </c>
      <c r="C70" s="5">
        <v>1</v>
      </c>
      <c r="G70" s="8">
        <v>46134</v>
      </c>
      <c r="H70" s="5">
        <v>55</v>
      </c>
    </row>
    <row r="71" spans="1:8">
      <c r="A71" s="8" t="s">
        <v>281</v>
      </c>
      <c r="C71" s="5">
        <v>1</v>
      </c>
      <c r="G71" s="8">
        <v>46139</v>
      </c>
      <c r="H71" s="5">
        <v>93</v>
      </c>
    </row>
    <row r="72" spans="1:8">
      <c r="A72" s="8">
        <v>46102</v>
      </c>
      <c r="B72" t="s">
        <v>22</v>
      </c>
      <c r="C72" s="5">
        <v>1</v>
      </c>
      <c r="G72" s="8">
        <v>46141</v>
      </c>
      <c r="H72" s="5">
        <v>56</v>
      </c>
    </row>
    <row r="73" spans="1:8">
      <c r="A73" s="8" t="s">
        <v>282</v>
      </c>
      <c r="C73" s="5">
        <v>1</v>
      </c>
      <c r="G73" s="8">
        <v>46142</v>
      </c>
      <c r="H73" s="5">
        <v>145</v>
      </c>
    </row>
    <row r="74" spans="1:8">
      <c r="A74" s="8">
        <v>46103</v>
      </c>
      <c r="B74" t="s">
        <v>22</v>
      </c>
      <c r="C74" s="5">
        <v>1</v>
      </c>
      <c r="G74" s="8">
        <v>46143</v>
      </c>
      <c r="H74" s="5">
        <v>142</v>
      </c>
    </row>
    <row r="75" spans="1:8">
      <c r="A75" s="8" t="s">
        <v>283</v>
      </c>
      <c r="C75" s="5">
        <v>1</v>
      </c>
      <c r="G75" s="8">
        <v>46146</v>
      </c>
      <c r="H75" s="5">
        <v>98</v>
      </c>
    </row>
    <row r="76" spans="1:8">
      <c r="A76" s="8">
        <v>46107</v>
      </c>
      <c r="B76" t="s">
        <v>13</v>
      </c>
      <c r="C76" s="5">
        <v>1</v>
      </c>
      <c r="G76" s="8">
        <v>46147</v>
      </c>
      <c r="H76" s="5">
        <v>66</v>
      </c>
    </row>
    <row r="77" spans="1:8">
      <c r="A77" s="8" t="s">
        <v>284</v>
      </c>
      <c r="C77" s="5">
        <v>1</v>
      </c>
      <c r="G77" s="8">
        <v>46149</v>
      </c>
      <c r="H77" s="5">
        <v>19</v>
      </c>
    </row>
    <row r="78" spans="1:8">
      <c r="A78" s="8">
        <v>46108</v>
      </c>
      <c r="B78" t="s">
        <v>22</v>
      </c>
      <c r="C78" s="5">
        <v>1</v>
      </c>
      <c r="G78" s="8">
        <v>46150</v>
      </c>
      <c r="H78" s="5">
        <v>159</v>
      </c>
    </row>
    <row r="79" spans="1:8">
      <c r="A79" s="8" t="s">
        <v>285</v>
      </c>
      <c r="C79" s="5">
        <v>1</v>
      </c>
      <c r="G79" s="8">
        <v>46153</v>
      </c>
      <c r="H79" s="5">
        <v>44</v>
      </c>
    </row>
    <row r="80" spans="1:8">
      <c r="A80" s="8">
        <v>46111</v>
      </c>
      <c r="B80" t="s">
        <v>22</v>
      </c>
      <c r="C80" s="5">
        <v>1</v>
      </c>
      <c r="G80" s="8">
        <v>46158</v>
      </c>
      <c r="H80" s="5">
        <v>50</v>
      </c>
    </row>
    <row r="81" spans="1:8">
      <c r="A81" s="8" t="s">
        <v>286</v>
      </c>
      <c r="C81" s="5">
        <v>1</v>
      </c>
      <c r="G81" s="8">
        <v>46159</v>
      </c>
      <c r="H81" s="5">
        <v>196</v>
      </c>
    </row>
    <row r="82" spans="1:8">
      <c r="A82" s="8">
        <v>46113</v>
      </c>
      <c r="B82" t="s">
        <v>13</v>
      </c>
      <c r="C82" s="5">
        <v>1</v>
      </c>
      <c r="G82" s="8">
        <v>46160</v>
      </c>
      <c r="H82" s="5">
        <v>318</v>
      </c>
    </row>
    <row r="83" spans="1:8">
      <c r="A83" s="8" t="s">
        <v>287</v>
      </c>
      <c r="C83" s="5">
        <v>1</v>
      </c>
      <c r="G83" s="8">
        <v>46161</v>
      </c>
      <c r="H83" s="5">
        <v>341</v>
      </c>
    </row>
    <row r="84" spans="1:8">
      <c r="A84" s="8">
        <v>46121</v>
      </c>
      <c r="B84" t="s">
        <v>22</v>
      </c>
      <c r="C84" s="5">
        <v>1</v>
      </c>
      <c r="G84" s="8">
        <v>46164</v>
      </c>
      <c r="H84" s="5">
        <v>68</v>
      </c>
    </row>
    <row r="85" spans="1:8">
      <c r="A85" s="8" t="s">
        <v>288</v>
      </c>
      <c r="C85" s="5">
        <v>1</v>
      </c>
      <c r="G85" s="8">
        <v>46166</v>
      </c>
      <c r="H85" s="5">
        <v>147</v>
      </c>
    </row>
    <row r="86" spans="1:8">
      <c r="A86" s="8">
        <v>46125</v>
      </c>
      <c r="B86" t="s">
        <v>13</v>
      </c>
      <c r="C86" s="5">
        <v>1</v>
      </c>
      <c r="G86" s="8">
        <v>46167</v>
      </c>
      <c r="H86" s="5">
        <v>179</v>
      </c>
    </row>
    <row r="87" spans="1:8">
      <c r="B87" t="s">
        <v>22</v>
      </c>
      <c r="C87" s="5">
        <v>1</v>
      </c>
      <c r="G87" s="8">
        <v>46168</v>
      </c>
      <c r="H87" s="5">
        <v>87</v>
      </c>
    </row>
    <row r="88" spans="1:8">
      <c r="A88" s="8" t="s">
        <v>289</v>
      </c>
      <c r="C88" s="5">
        <v>2</v>
      </c>
      <c r="G88" s="8">
        <v>46171</v>
      </c>
      <c r="H88" s="5">
        <v>178</v>
      </c>
    </row>
    <row r="89" spans="1:8">
      <c r="A89" s="8">
        <v>46127</v>
      </c>
      <c r="B89" t="s">
        <v>13</v>
      </c>
      <c r="C89" s="5">
        <v>2</v>
      </c>
      <c r="G89" s="8">
        <v>46172</v>
      </c>
      <c r="H89" s="5">
        <v>121</v>
      </c>
    </row>
    <row r="90" spans="1:8">
      <c r="B90" t="s">
        <v>22</v>
      </c>
      <c r="C90" s="5">
        <v>1</v>
      </c>
      <c r="G90" s="8">
        <v>46175</v>
      </c>
      <c r="H90" s="5">
        <v>82</v>
      </c>
    </row>
    <row r="91" spans="1:8">
      <c r="A91" s="8" t="s">
        <v>290</v>
      </c>
      <c r="C91" s="5">
        <v>3</v>
      </c>
      <c r="G91" s="8">
        <v>46183</v>
      </c>
      <c r="H91" s="5">
        <v>64</v>
      </c>
    </row>
    <row r="92" spans="1:8">
      <c r="A92" s="8">
        <v>46130</v>
      </c>
      <c r="B92" t="s">
        <v>22</v>
      </c>
      <c r="C92" s="5">
        <v>1</v>
      </c>
      <c r="G92" s="8">
        <v>46186</v>
      </c>
      <c r="H92" s="5">
        <v>135</v>
      </c>
    </row>
    <row r="93" spans="1:8">
      <c r="A93" s="8" t="s">
        <v>291</v>
      </c>
      <c r="C93" s="5">
        <v>1</v>
      </c>
      <c r="G93" s="8">
        <v>46197</v>
      </c>
      <c r="H93" s="5">
        <v>118</v>
      </c>
    </row>
    <row r="94" spans="1:8">
      <c r="A94" s="8">
        <v>46132</v>
      </c>
      <c r="B94" t="s">
        <v>22</v>
      </c>
      <c r="C94" s="5">
        <v>1</v>
      </c>
      <c r="G94" s="8">
        <v>46201</v>
      </c>
      <c r="H94" s="5">
        <v>118</v>
      </c>
    </row>
    <row r="95" spans="1:8">
      <c r="A95" s="8" t="s">
        <v>292</v>
      </c>
      <c r="C95" s="5">
        <v>1</v>
      </c>
      <c r="G95" s="8" t="s">
        <v>247</v>
      </c>
      <c r="H95" s="5">
        <v>9200</v>
      </c>
    </row>
    <row r="96" spans="1:8">
      <c r="A96" s="8">
        <v>46134</v>
      </c>
      <c r="B96" t="s">
        <v>13</v>
      </c>
      <c r="C96" s="5">
        <v>1</v>
      </c>
    </row>
    <row r="97" spans="1:3">
      <c r="A97" s="8" t="s">
        <v>293</v>
      </c>
      <c r="C97" s="5">
        <v>1</v>
      </c>
    </row>
    <row r="98" spans="1:3">
      <c r="A98" s="8">
        <v>46139</v>
      </c>
      <c r="B98" t="s">
        <v>13</v>
      </c>
      <c r="C98" s="5">
        <v>1</v>
      </c>
    </row>
    <row r="99" spans="1:3">
      <c r="A99" s="8" t="s">
        <v>294</v>
      </c>
      <c r="C99" s="5">
        <v>1</v>
      </c>
    </row>
    <row r="100" spans="1:3">
      <c r="A100" s="8">
        <v>46141</v>
      </c>
      <c r="B100" t="s">
        <v>13</v>
      </c>
      <c r="C100" s="5">
        <v>1</v>
      </c>
    </row>
    <row r="101" spans="1:3">
      <c r="A101" s="8" t="s">
        <v>295</v>
      </c>
      <c r="C101" s="5">
        <v>1</v>
      </c>
    </row>
    <row r="102" spans="1:3">
      <c r="A102" s="8">
        <v>46142</v>
      </c>
      <c r="B102" t="s">
        <v>22</v>
      </c>
      <c r="C102" s="5">
        <v>1</v>
      </c>
    </row>
    <row r="103" spans="1:3">
      <c r="A103" s="8" t="s">
        <v>296</v>
      </c>
      <c r="C103" s="5">
        <v>1</v>
      </c>
    </row>
    <row r="104" spans="1:3">
      <c r="A104" s="8">
        <v>46143</v>
      </c>
      <c r="B104" t="s">
        <v>13</v>
      </c>
      <c r="C104" s="5">
        <v>1</v>
      </c>
    </row>
    <row r="105" spans="1:3">
      <c r="A105" s="8" t="s">
        <v>297</v>
      </c>
      <c r="C105" s="5">
        <v>1</v>
      </c>
    </row>
    <row r="106" spans="1:3">
      <c r="A106" s="8">
        <v>46146</v>
      </c>
      <c r="B106" t="s">
        <v>22</v>
      </c>
      <c r="C106" s="5">
        <v>1</v>
      </c>
    </row>
    <row r="107" spans="1:3">
      <c r="A107" s="8" t="s">
        <v>298</v>
      </c>
      <c r="C107" s="5">
        <v>1</v>
      </c>
    </row>
    <row r="108" spans="1:3">
      <c r="A108" s="8">
        <v>46147</v>
      </c>
      <c r="B108" t="s">
        <v>13</v>
      </c>
      <c r="C108" s="5">
        <v>1</v>
      </c>
    </row>
    <row r="109" spans="1:3">
      <c r="A109" s="8" t="s">
        <v>299</v>
      </c>
      <c r="C109" s="5">
        <v>1</v>
      </c>
    </row>
    <row r="110" spans="1:3">
      <c r="A110" s="8">
        <v>46149</v>
      </c>
      <c r="B110" t="s">
        <v>13</v>
      </c>
      <c r="C110" s="5">
        <v>1</v>
      </c>
    </row>
    <row r="111" spans="1:3">
      <c r="A111" s="8" t="s">
        <v>300</v>
      </c>
      <c r="C111" s="5">
        <v>1</v>
      </c>
    </row>
    <row r="112" spans="1:3">
      <c r="A112" s="8">
        <v>46150</v>
      </c>
      <c r="B112" t="s">
        <v>13</v>
      </c>
      <c r="C112" s="5">
        <v>1</v>
      </c>
    </row>
    <row r="113" spans="1:3">
      <c r="A113" s="8" t="s">
        <v>301</v>
      </c>
      <c r="C113" s="5">
        <v>1</v>
      </c>
    </row>
    <row r="114" spans="1:3">
      <c r="A114" s="8">
        <v>46153</v>
      </c>
      <c r="B114" t="s">
        <v>22</v>
      </c>
      <c r="C114" s="5">
        <v>1</v>
      </c>
    </row>
    <row r="115" spans="1:3">
      <c r="A115" s="8" t="s">
        <v>302</v>
      </c>
      <c r="C115" s="5">
        <v>1</v>
      </c>
    </row>
    <row r="116" spans="1:3">
      <c r="A116" s="8">
        <v>46158</v>
      </c>
      <c r="B116" t="s">
        <v>22</v>
      </c>
      <c r="C116" s="5">
        <v>1</v>
      </c>
    </row>
    <row r="117" spans="1:3">
      <c r="A117" s="8" t="s">
        <v>303</v>
      </c>
      <c r="C117" s="5">
        <v>1</v>
      </c>
    </row>
    <row r="118" spans="1:3">
      <c r="A118" s="8">
        <v>46159</v>
      </c>
      <c r="B118" t="s">
        <v>13</v>
      </c>
      <c r="C118" s="5">
        <v>1</v>
      </c>
    </row>
    <row r="119" spans="1:3">
      <c r="A119" s="8" t="s">
        <v>304</v>
      </c>
      <c r="C119" s="5">
        <v>1</v>
      </c>
    </row>
    <row r="120" spans="1:3">
      <c r="A120" s="8">
        <v>46160</v>
      </c>
      <c r="B120" t="s">
        <v>22</v>
      </c>
      <c r="C120" s="5">
        <v>2</v>
      </c>
    </row>
    <row r="121" spans="1:3">
      <c r="A121" s="8" t="s">
        <v>305</v>
      </c>
      <c r="C121" s="5">
        <v>2</v>
      </c>
    </row>
    <row r="122" spans="1:3">
      <c r="A122" s="8">
        <v>46161</v>
      </c>
      <c r="B122" t="s">
        <v>13</v>
      </c>
      <c r="C122" s="5">
        <v>2</v>
      </c>
    </row>
    <row r="123" spans="1:3">
      <c r="A123" s="8" t="s">
        <v>306</v>
      </c>
      <c r="C123" s="5">
        <v>2</v>
      </c>
    </row>
    <row r="124" spans="1:3">
      <c r="A124" s="8">
        <v>46164</v>
      </c>
      <c r="B124" t="s">
        <v>22</v>
      </c>
      <c r="C124" s="5">
        <v>1</v>
      </c>
    </row>
    <row r="125" spans="1:3">
      <c r="A125" s="8" t="s">
        <v>307</v>
      </c>
      <c r="C125" s="5">
        <v>1</v>
      </c>
    </row>
    <row r="126" spans="1:3">
      <c r="A126" s="8">
        <v>46166</v>
      </c>
      <c r="B126" t="s">
        <v>13</v>
      </c>
      <c r="C126" s="5">
        <v>1</v>
      </c>
    </row>
    <row r="127" spans="1:3">
      <c r="A127" s="8" t="s">
        <v>308</v>
      </c>
      <c r="C127" s="5">
        <v>1</v>
      </c>
    </row>
    <row r="128" spans="1:3">
      <c r="A128" s="8">
        <v>46167</v>
      </c>
      <c r="B128" t="s">
        <v>22</v>
      </c>
      <c r="C128" s="5">
        <v>1</v>
      </c>
    </row>
    <row r="129" spans="1:3">
      <c r="A129" s="8" t="s">
        <v>309</v>
      </c>
      <c r="C129" s="5">
        <v>1</v>
      </c>
    </row>
    <row r="130" spans="1:3">
      <c r="A130" s="8">
        <v>46168</v>
      </c>
      <c r="B130" t="s">
        <v>22</v>
      </c>
      <c r="C130" s="5">
        <v>1</v>
      </c>
    </row>
    <row r="131" spans="1:3">
      <c r="A131" s="8" t="s">
        <v>310</v>
      </c>
      <c r="C131" s="5">
        <v>1</v>
      </c>
    </row>
    <row r="132" spans="1:3">
      <c r="A132" s="8">
        <v>46171</v>
      </c>
      <c r="B132" t="s">
        <v>22</v>
      </c>
      <c r="C132" s="5">
        <v>1</v>
      </c>
    </row>
    <row r="133" spans="1:3">
      <c r="A133" s="8" t="s">
        <v>311</v>
      </c>
      <c r="C133" s="5">
        <v>1</v>
      </c>
    </row>
    <row r="134" spans="1:3">
      <c r="A134" s="8">
        <v>46172</v>
      </c>
      <c r="B134" t="s">
        <v>13</v>
      </c>
      <c r="C134" s="5">
        <v>1</v>
      </c>
    </row>
    <row r="135" spans="1:3">
      <c r="A135" s="8" t="s">
        <v>312</v>
      </c>
      <c r="C135" s="5">
        <v>1</v>
      </c>
    </row>
    <row r="136" spans="1:3">
      <c r="A136" s="8">
        <v>46175</v>
      </c>
      <c r="B136" t="s">
        <v>22</v>
      </c>
      <c r="C136" s="5">
        <v>1</v>
      </c>
    </row>
    <row r="137" spans="1:3">
      <c r="A137" s="8" t="s">
        <v>313</v>
      </c>
      <c r="C137" s="5">
        <v>1</v>
      </c>
    </row>
    <row r="138" spans="1:3">
      <c r="A138" s="8">
        <v>46183</v>
      </c>
      <c r="B138" t="s">
        <v>13</v>
      </c>
      <c r="C138" s="5">
        <v>1</v>
      </c>
    </row>
    <row r="139" spans="1:3">
      <c r="A139" s="8" t="s">
        <v>314</v>
      </c>
      <c r="C139" s="5">
        <v>1</v>
      </c>
    </row>
    <row r="140" spans="1:3">
      <c r="A140" s="8">
        <v>46186</v>
      </c>
      <c r="B140" t="s">
        <v>13</v>
      </c>
      <c r="C140" s="5">
        <v>1</v>
      </c>
    </row>
    <row r="141" spans="1:3">
      <c r="A141" s="8" t="s">
        <v>315</v>
      </c>
      <c r="C141" s="5">
        <v>1</v>
      </c>
    </row>
    <row r="142" spans="1:3">
      <c r="A142" s="8">
        <v>46197</v>
      </c>
      <c r="B142" t="s">
        <v>13</v>
      </c>
      <c r="C142" s="5">
        <v>1</v>
      </c>
    </row>
    <row r="143" spans="1:3">
      <c r="A143" s="8" t="s">
        <v>316</v>
      </c>
      <c r="C143" s="5">
        <v>1</v>
      </c>
    </row>
    <row r="144" spans="1:3">
      <c r="A144" s="8">
        <v>46201</v>
      </c>
      <c r="B144" t="s">
        <v>13</v>
      </c>
      <c r="C144" s="5">
        <v>1</v>
      </c>
    </row>
    <row r="145" spans="1:3">
      <c r="A145" s="8" t="s">
        <v>317</v>
      </c>
      <c r="C145" s="5">
        <v>1</v>
      </c>
    </row>
    <row r="146" spans="1:3">
      <c r="A146" s="8" t="s">
        <v>247</v>
      </c>
      <c r="C146" s="5">
        <v>81</v>
      </c>
    </row>
    <row r="162" spans="7:7">
      <c r="G162" s="9"/>
    </row>
    <row r="163" spans="7:7">
      <c r="G163" s="9"/>
    </row>
    <row r="164" spans="7:7">
      <c r="G164" s="9"/>
    </row>
    <row r="165" spans="7:7">
      <c r="G165" s="9"/>
    </row>
    <row r="166" spans="7:7">
      <c r="G166" s="9"/>
    </row>
    <row r="167" spans="7:7">
      <c r="G167" s="9"/>
    </row>
    <row r="168" spans="7:7">
      <c r="G168" s="9"/>
    </row>
    <row r="169" spans="7:7">
      <c r="G169" s="9"/>
    </row>
    <row r="170" spans="7:7">
      <c r="G170" s="9"/>
    </row>
    <row r="171" spans="7:7">
      <c r="G171" s="9"/>
    </row>
    <row r="172" spans="7:7">
      <c r="G172" s="9"/>
    </row>
    <row r="173" spans="7:7">
      <c r="G173" s="9"/>
    </row>
    <row r="174" spans="7:7">
      <c r="G174" s="9"/>
    </row>
    <row r="175" spans="7:7">
      <c r="G175" s="9"/>
    </row>
    <row r="176" spans="7:7">
      <c r="G176" s="9"/>
    </row>
    <row r="177" spans="7:7">
      <c r="G177" s="9"/>
    </row>
    <row r="178" spans="7:7">
      <c r="G178" s="9"/>
    </row>
    <row r="179" spans="7:7">
      <c r="G179" s="9"/>
    </row>
    <row r="180" spans="7:7">
      <c r="G180" s="9"/>
    </row>
    <row r="181" spans="7:7">
      <c r="G181" s="9"/>
    </row>
    <row r="182" spans="7:7">
      <c r="G182" s="9"/>
    </row>
    <row r="183" spans="7:7">
      <c r="G183" s="9"/>
    </row>
    <row r="184" spans="7:7">
      <c r="G184" s="9"/>
    </row>
    <row r="185" spans="7:7">
      <c r="G185" s="9"/>
    </row>
    <row r="186" spans="7:7">
      <c r="G186" s="9"/>
    </row>
    <row r="187" spans="7:7">
      <c r="G187" s="9"/>
    </row>
    <row r="188" spans="7:7">
      <c r="G188" s="9"/>
    </row>
    <row r="189" spans="7:7">
      <c r="G189" s="9"/>
    </row>
    <row r="190" spans="7:7">
      <c r="G190" s="9"/>
    </row>
    <row r="191" spans="7:7">
      <c r="G191" s="9"/>
    </row>
    <row r="192" spans="7:7">
      <c r="G192" s="9"/>
    </row>
    <row r="193" spans="7:7">
      <c r="G193" s="9"/>
    </row>
    <row r="194" spans="7:7">
      <c r="G194" s="9"/>
    </row>
    <row r="195" spans="7:7">
      <c r="G195" s="9"/>
    </row>
    <row r="196" spans="7:7">
      <c r="G196" s="9"/>
    </row>
    <row r="197" spans="7:7">
      <c r="G197" s="9"/>
    </row>
    <row r="198" spans="7:7">
      <c r="G198" s="9"/>
    </row>
    <row r="199" spans="7:7">
      <c r="G199" s="9"/>
    </row>
    <row r="200" spans="7:7">
      <c r="G200" s="9"/>
    </row>
    <row r="201" spans="7:7">
      <c r="G201" s="9"/>
    </row>
    <row r="202" spans="7:7">
      <c r="G202" s="9"/>
    </row>
    <row r="203" spans="7:7">
      <c r="G203" s="9"/>
    </row>
    <row r="204" spans="7:7">
      <c r="G204" s="9"/>
    </row>
    <row r="205" spans="7:7">
      <c r="G205" s="9"/>
    </row>
    <row r="206" spans="7:7">
      <c r="G206" s="9"/>
    </row>
    <row r="207" spans="7:7">
      <c r="G207" s="9"/>
    </row>
    <row r="208" spans="7:7">
      <c r="G208" s="9"/>
    </row>
    <row r="209" spans="7:7">
      <c r="G209" s="9"/>
    </row>
    <row r="210" spans="7:7">
      <c r="G210" s="9"/>
    </row>
    <row r="211" spans="7:7">
      <c r="G211" s="9"/>
    </row>
    <row r="212" spans="7:7">
      <c r="G212" s="9"/>
    </row>
    <row r="213" spans="7:7">
      <c r="G213" s="9"/>
    </row>
    <row r="214" spans="7:7">
      <c r="G214" s="9"/>
    </row>
    <row r="215" spans="7:7">
      <c r="G215" s="9"/>
    </row>
    <row r="216" spans="7:7">
      <c r="G216" s="9"/>
    </row>
    <row r="217" spans="7:7">
      <c r="G217" s="9"/>
    </row>
    <row r="218" spans="7:7">
      <c r="G218" s="9"/>
    </row>
    <row r="219" spans="7:7">
      <c r="G219" s="9"/>
    </row>
    <row r="220" spans="7:7">
      <c r="G220" s="9"/>
    </row>
    <row r="221" spans="7:7">
      <c r="G221" s="9"/>
    </row>
    <row r="222" spans="7:7">
      <c r="G222" s="9"/>
    </row>
    <row r="223" spans="7:7">
      <c r="G223" s="9"/>
    </row>
    <row r="224" spans="7:7">
      <c r="G224" s="9"/>
    </row>
    <row r="225" spans="7:7">
      <c r="G225" s="9"/>
    </row>
  </sheetData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D5A54-F3A0-46CB-A49B-306AB5A465F4}">
  <dimension ref="A3:K16"/>
  <sheetViews>
    <sheetView workbookViewId="0">
      <selection activeCell="I16" sqref="I16"/>
    </sheetView>
  </sheetViews>
  <sheetFormatPr defaultRowHeight="15"/>
  <cols>
    <col min="1" max="1" width="20" bestFit="1" customWidth="1"/>
    <col min="2" max="2" width="14.28515625" bestFit="1" customWidth="1"/>
    <col min="3" max="10" width="8.42578125" bestFit="1" customWidth="1"/>
    <col min="11" max="11" width="11.42578125" bestFit="1" customWidth="1"/>
    <col min="12" max="21" width="6.5703125" bestFit="1" customWidth="1"/>
    <col min="22" max="28" width="5.85546875" bestFit="1" customWidth="1"/>
    <col min="29" max="41" width="6.85546875" bestFit="1" customWidth="1"/>
    <col min="42" max="47" width="6.28515625" bestFit="1" customWidth="1"/>
    <col min="48" max="64" width="7.42578125" bestFit="1" customWidth="1"/>
    <col min="65" max="67" width="5.85546875" bestFit="1" customWidth="1"/>
    <col min="68" max="85" width="6.85546875" bestFit="1" customWidth="1"/>
    <col min="86" max="93" width="6.5703125" bestFit="1" customWidth="1"/>
    <col min="94" max="109" width="7.5703125" bestFit="1" customWidth="1"/>
    <col min="110" max="112" width="5.5703125" bestFit="1" customWidth="1"/>
    <col min="113" max="124" width="6.7109375" bestFit="1" customWidth="1"/>
    <col min="125" max="125" width="11.42578125" bestFit="1" customWidth="1"/>
  </cols>
  <sheetData>
    <row r="3" spans="1:11">
      <c r="A3" s="4" t="s">
        <v>248</v>
      </c>
      <c r="B3" s="4" t="s">
        <v>5</v>
      </c>
    </row>
    <row r="4" spans="1:11">
      <c r="A4" s="4" t="s">
        <v>4</v>
      </c>
      <c r="B4" s="8">
        <v>46027</v>
      </c>
      <c r="C4" s="8">
        <v>46028</v>
      </c>
      <c r="D4" s="8">
        <v>46055</v>
      </c>
      <c r="E4" s="8">
        <v>46056</v>
      </c>
      <c r="F4" s="8">
        <v>46111</v>
      </c>
      <c r="G4" s="8">
        <v>46112</v>
      </c>
      <c r="H4" s="8">
        <v>46130</v>
      </c>
      <c r="I4" s="8">
        <v>46132</v>
      </c>
      <c r="J4" s="8">
        <v>46159</v>
      </c>
      <c r="K4" s="8" t="s">
        <v>247</v>
      </c>
    </row>
    <row r="5" spans="1:11">
      <c r="A5" t="s">
        <v>13</v>
      </c>
      <c r="B5" s="11">
        <v>0</v>
      </c>
      <c r="C5" s="11">
        <v>0</v>
      </c>
      <c r="D5" s="11">
        <v>0.33333333333333331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1</v>
      </c>
      <c r="K5" s="11">
        <v>0.125</v>
      </c>
    </row>
    <row r="6" spans="1:11">
      <c r="A6" t="s">
        <v>17</v>
      </c>
      <c r="B6" s="11">
        <v>0</v>
      </c>
      <c r="C6" s="11">
        <v>0</v>
      </c>
      <c r="D6" s="11">
        <v>0</v>
      </c>
      <c r="E6" s="11">
        <v>0.33333333333333331</v>
      </c>
      <c r="F6" s="11">
        <v>0</v>
      </c>
      <c r="G6" s="11">
        <v>0</v>
      </c>
      <c r="H6" s="11">
        <v>0.33333333333333331</v>
      </c>
      <c r="I6" s="11">
        <v>0</v>
      </c>
      <c r="J6" s="11">
        <v>0</v>
      </c>
      <c r="K6" s="11">
        <v>0.125</v>
      </c>
    </row>
    <row r="7" spans="1:11">
      <c r="A7" t="s">
        <v>27</v>
      </c>
      <c r="B7" s="11">
        <v>1</v>
      </c>
      <c r="C7" s="11">
        <v>0</v>
      </c>
      <c r="D7" s="11">
        <v>0.33333333333333331</v>
      </c>
      <c r="E7" s="11">
        <v>0</v>
      </c>
      <c r="F7" s="11">
        <v>0</v>
      </c>
      <c r="G7" s="11">
        <v>1</v>
      </c>
      <c r="H7" s="11">
        <v>0.33333333333333331</v>
      </c>
      <c r="I7" s="11">
        <v>0</v>
      </c>
      <c r="J7" s="11">
        <v>0</v>
      </c>
      <c r="K7" s="11">
        <v>0.3125</v>
      </c>
    </row>
    <row r="8" spans="1:11">
      <c r="A8" t="s">
        <v>22</v>
      </c>
      <c r="B8" s="11">
        <v>0</v>
      </c>
      <c r="C8" s="11">
        <v>1</v>
      </c>
      <c r="D8" s="11">
        <v>0.33333333333333331</v>
      </c>
      <c r="E8" s="11">
        <v>0.66666666666666663</v>
      </c>
      <c r="F8" s="11">
        <v>1</v>
      </c>
      <c r="G8" s="11">
        <v>0</v>
      </c>
      <c r="H8" s="11">
        <v>0.33333333333333331</v>
      </c>
      <c r="I8" s="11">
        <v>1</v>
      </c>
      <c r="J8" s="11">
        <v>0</v>
      </c>
      <c r="K8" s="11">
        <v>0.4375</v>
      </c>
    </row>
    <row r="9" spans="1:11">
      <c r="A9" t="s">
        <v>247</v>
      </c>
      <c r="B9" s="11">
        <v>1</v>
      </c>
      <c r="C9" s="11">
        <v>1</v>
      </c>
      <c r="D9" s="11">
        <v>1</v>
      </c>
      <c r="E9" s="11">
        <v>1</v>
      </c>
      <c r="F9" s="11">
        <v>1</v>
      </c>
      <c r="G9" s="11">
        <v>1</v>
      </c>
      <c r="H9" s="11">
        <v>1</v>
      </c>
      <c r="I9" s="11">
        <v>1</v>
      </c>
      <c r="J9" s="11">
        <v>1</v>
      </c>
      <c r="K9" s="11">
        <v>1</v>
      </c>
    </row>
    <row r="16" spans="1:11">
      <c r="I16" s="15" t="s">
        <v>30</v>
      </c>
    </row>
  </sheetData>
  <conditionalFormatting sqref="E12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3:K9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47582-C1EF-4202-9864-EB628DE77256}">
  <dimension ref="A3:J9"/>
  <sheetViews>
    <sheetView workbookViewId="0">
      <selection activeCell="J5" sqref="J5"/>
    </sheetView>
  </sheetViews>
  <sheetFormatPr defaultRowHeight="15"/>
  <cols>
    <col min="1" max="1" width="20.42578125" bestFit="1" customWidth="1"/>
    <col min="2" max="2" width="18.28515625" bestFit="1" customWidth="1"/>
    <col min="3" max="6" width="3" bestFit="1" customWidth="1"/>
    <col min="7" max="8" width="11.42578125" bestFit="1" customWidth="1"/>
  </cols>
  <sheetData>
    <row r="3" spans="1:10">
      <c r="A3" s="4" t="s">
        <v>248</v>
      </c>
      <c r="B3" s="4" t="s">
        <v>10</v>
      </c>
    </row>
    <row r="4" spans="1:10">
      <c r="A4" s="4" t="s">
        <v>9</v>
      </c>
      <c r="B4">
        <v>1</v>
      </c>
      <c r="C4">
        <v>2</v>
      </c>
      <c r="D4">
        <v>3</v>
      </c>
      <c r="E4">
        <v>4</v>
      </c>
      <c r="F4">
        <v>5</v>
      </c>
      <c r="G4" t="s">
        <v>247</v>
      </c>
    </row>
    <row r="5" spans="1:10">
      <c r="A5" t="s">
        <v>318</v>
      </c>
      <c r="B5" s="5"/>
      <c r="C5" s="5">
        <v>5</v>
      </c>
      <c r="D5" s="5">
        <v>3</v>
      </c>
      <c r="E5" s="5">
        <v>8</v>
      </c>
      <c r="F5" s="5">
        <v>3</v>
      </c>
      <c r="G5" s="5">
        <v>19</v>
      </c>
      <c r="J5" s="15" t="s">
        <v>30</v>
      </c>
    </row>
    <row r="6" spans="1:10">
      <c r="A6" t="s">
        <v>319</v>
      </c>
      <c r="B6" s="5">
        <v>3</v>
      </c>
      <c r="C6" s="5">
        <v>6</v>
      </c>
      <c r="D6" s="5">
        <v>11</v>
      </c>
      <c r="E6" s="5">
        <v>7</v>
      </c>
      <c r="F6" s="5">
        <v>2</v>
      </c>
      <c r="G6" s="5">
        <v>29</v>
      </c>
    </row>
    <row r="7" spans="1:10">
      <c r="A7" t="s">
        <v>320</v>
      </c>
      <c r="B7" s="5">
        <v>6</v>
      </c>
      <c r="C7" s="5">
        <v>18</v>
      </c>
      <c r="D7" s="5">
        <v>20</v>
      </c>
      <c r="E7" s="5">
        <v>22</v>
      </c>
      <c r="F7" s="5">
        <v>12</v>
      </c>
      <c r="G7" s="5">
        <v>78</v>
      </c>
    </row>
    <row r="8" spans="1:10">
      <c r="A8" t="s">
        <v>321</v>
      </c>
      <c r="B8" s="5">
        <v>7</v>
      </c>
      <c r="C8" s="5">
        <v>19</v>
      </c>
      <c r="D8" s="5">
        <v>17</v>
      </c>
      <c r="E8" s="5">
        <v>21</v>
      </c>
      <c r="F8" s="5">
        <v>10</v>
      </c>
      <c r="G8" s="5">
        <v>74</v>
      </c>
    </row>
    <row r="9" spans="1:10">
      <c r="A9" t="s">
        <v>247</v>
      </c>
      <c r="B9" s="5">
        <v>16</v>
      </c>
      <c r="C9" s="5">
        <v>48</v>
      </c>
      <c r="D9" s="5">
        <v>51</v>
      </c>
      <c r="E9" s="5">
        <v>58</v>
      </c>
      <c r="F9" s="5">
        <v>27</v>
      </c>
      <c r="G9" s="5">
        <v>200</v>
      </c>
    </row>
  </sheetData>
  <conditionalFormatting pivot="1" sqref="D7">
    <cfRule type="colorScale" priority="5">
      <colorScale>
        <cfvo type="min"/>
        <cfvo type="max"/>
        <color rgb="FFFCFCFF"/>
        <color rgb="FF63BE7B"/>
      </colorScale>
    </cfRule>
  </conditionalFormatting>
  <conditionalFormatting pivot="1" sqref="E7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{4E518F6A-CEB6-46F5-AAE4-ACA9AC6E7492}</x14:id>
        </ext>
      </extLst>
    </cfRule>
  </conditionalFormatting>
  <conditionalFormatting pivot="1" sqref="B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{FE971C57-7326-4144-B830-A2E8821298D9}</x14:id>
        </ext>
      </extLst>
    </cfRule>
  </conditionalFormatting>
  <conditionalFormatting sqref="A5:G9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{8CB8D62B-CD68-4C96-9D03-B7B20C712918}</x14:id>
        </ext>
      </extLst>
    </cfRule>
  </conditionalFormatting>
  <conditionalFormatting pivot="1" sqref="D7">
    <cfRule type="colorScale" priority="1">
      <colorScale>
        <cfvo type="min"/>
        <cfvo type="max"/>
        <color rgb="FF63BE7B"/>
        <color rgb="FFFCFCFF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4E518F6A-CEB6-46F5-AAE4-ACA9AC6E74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E7</xm:sqref>
        </x14:conditionalFormatting>
        <x14:conditionalFormatting xmlns:xm="http://schemas.microsoft.com/office/excel/2006/main" pivot="1">
          <x14:cfRule type="dataBar" id="{FE971C57-7326-4144-B830-A2E8821298D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B6</xm:sqref>
        </x14:conditionalFormatting>
        <x14:conditionalFormatting xmlns:xm="http://schemas.microsoft.com/office/excel/2006/main">
          <x14:cfRule type="dataBar" id="{8CB8D62B-CD68-4C96-9D03-B7B20C7129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A5:G9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6943B-D526-4121-9202-13163617BF83}">
  <dimension ref="A3:E33"/>
  <sheetViews>
    <sheetView workbookViewId="0">
      <selection activeCell="E11" sqref="E11"/>
    </sheetView>
  </sheetViews>
  <sheetFormatPr defaultRowHeight="15"/>
  <cols>
    <col min="1" max="1" width="15" bestFit="1" customWidth="1"/>
    <col min="2" max="2" width="20" bestFit="1" customWidth="1"/>
    <col min="3" max="3" width="27.5703125" bestFit="1" customWidth="1"/>
  </cols>
  <sheetData>
    <row r="3" spans="1:5">
      <c r="A3" s="4" t="s">
        <v>2</v>
      </c>
      <c r="B3" t="s">
        <v>248</v>
      </c>
      <c r="C3" t="s">
        <v>322</v>
      </c>
    </row>
    <row r="4" spans="1:5">
      <c r="A4" t="s">
        <v>15</v>
      </c>
      <c r="B4" s="5">
        <v>7</v>
      </c>
      <c r="C4" s="6">
        <v>3.3000000000000003</v>
      </c>
    </row>
    <row r="5" spans="1:5">
      <c r="A5" t="s">
        <v>80</v>
      </c>
      <c r="B5" s="5">
        <v>5</v>
      </c>
      <c r="C5" s="6">
        <v>3.56</v>
      </c>
    </row>
    <row r="6" spans="1:5">
      <c r="A6" t="s">
        <v>21</v>
      </c>
      <c r="B6" s="5">
        <v>9</v>
      </c>
      <c r="C6" s="6">
        <v>3.3000000000000003</v>
      </c>
    </row>
    <row r="7" spans="1:5">
      <c r="A7" t="s">
        <v>71</v>
      </c>
      <c r="B7" s="5">
        <v>7</v>
      </c>
      <c r="C7" s="6">
        <v>3.1857142857142859</v>
      </c>
    </row>
    <row r="8" spans="1:5">
      <c r="A8" t="s">
        <v>40</v>
      </c>
      <c r="B8" s="5">
        <v>13</v>
      </c>
      <c r="C8" s="6">
        <v>3.023076923076923</v>
      </c>
    </row>
    <row r="9" spans="1:5">
      <c r="A9" t="s">
        <v>12</v>
      </c>
      <c r="B9" s="5">
        <v>4</v>
      </c>
      <c r="C9" s="6">
        <v>3.15</v>
      </c>
    </row>
    <row r="10" spans="1:5">
      <c r="A10" t="s">
        <v>67</v>
      </c>
      <c r="B10" s="5">
        <v>5</v>
      </c>
      <c r="C10" s="6">
        <v>2.2799999999999998</v>
      </c>
    </row>
    <row r="11" spans="1:5">
      <c r="A11" t="s">
        <v>127</v>
      </c>
      <c r="B11" s="5">
        <v>6</v>
      </c>
      <c r="C11" s="6">
        <v>2.85</v>
      </c>
      <c r="E11" s="15" t="s">
        <v>30</v>
      </c>
    </row>
    <row r="12" spans="1:5">
      <c r="A12" t="s">
        <v>26</v>
      </c>
      <c r="B12" s="5">
        <v>9</v>
      </c>
      <c r="C12" s="6">
        <v>2.7666666666666666</v>
      </c>
    </row>
    <row r="13" spans="1:5">
      <c r="A13" t="s">
        <v>24</v>
      </c>
      <c r="B13" s="5">
        <v>4</v>
      </c>
      <c r="C13" s="6">
        <v>2.1749999999999998</v>
      </c>
    </row>
    <row r="14" spans="1:5">
      <c r="A14" t="s">
        <v>52</v>
      </c>
      <c r="B14" s="5">
        <v>5</v>
      </c>
      <c r="C14" s="6">
        <v>3.4</v>
      </c>
    </row>
    <row r="15" spans="1:5">
      <c r="A15" t="s">
        <v>33</v>
      </c>
      <c r="B15" s="5">
        <v>5</v>
      </c>
      <c r="C15" s="6">
        <v>3.6199999999999997</v>
      </c>
    </row>
    <row r="16" spans="1:5">
      <c r="A16" t="s">
        <v>50</v>
      </c>
      <c r="B16" s="5">
        <v>13</v>
      </c>
      <c r="C16" s="6">
        <v>2.9692307692307693</v>
      </c>
    </row>
    <row r="17" spans="1:3">
      <c r="A17" t="s">
        <v>106</v>
      </c>
      <c r="B17" s="5">
        <v>4</v>
      </c>
      <c r="C17" s="6">
        <v>4.5999999999999996</v>
      </c>
    </row>
    <row r="18" spans="1:3">
      <c r="A18" t="s">
        <v>44</v>
      </c>
      <c r="B18" s="5">
        <v>9</v>
      </c>
      <c r="C18" s="6">
        <v>3.4000000000000004</v>
      </c>
    </row>
    <row r="19" spans="1:3">
      <c r="A19" t="s">
        <v>65</v>
      </c>
      <c r="B19" s="5">
        <v>7</v>
      </c>
      <c r="C19" s="6">
        <v>3.3000000000000003</v>
      </c>
    </row>
    <row r="20" spans="1:3">
      <c r="A20" t="s">
        <v>101</v>
      </c>
      <c r="B20" s="5">
        <v>2</v>
      </c>
      <c r="C20" s="6">
        <v>2.8</v>
      </c>
    </row>
    <row r="21" spans="1:3">
      <c r="A21" t="s">
        <v>73</v>
      </c>
      <c r="B21" s="5">
        <v>9</v>
      </c>
      <c r="C21" s="6">
        <v>2.7</v>
      </c>
    </row>
    <row r="22" spans="1:3">
      <c r="A22" t="s">
        <v>19</v>
      </c>
      <c r="B22" s="5">
        <v>10</v>
      </c>
      <c r="C22" s="6">
        <v>2.88</v>
      </c>
    </row>
    <row r="23" spans="1:3">
      <c r="A23" t="s">
        <v>42</v>
      </c>
      <c r="B23" s="5">
        <v>7</v>
      </c>
      <c r="C23" s="6">
        <v>3.6714285714285713</v>
      </c>
    </row>
    <row r="24" spans="1:3">
      <c r="A24" t="s">
        <v>59</v>
      </c>
      <c r="B24" s="5">
        <v>8</v>
      </c>
      <c r="C24" s="6">
        <v>2.7874999999999996</v>
      </c>
    </row>
    <row r="25" spans="1:3">
      <c r="A25" t="s">
        <v>35</v>
      </c>
      <c r="B25" s="5">
        <v>7</v>
      </c>
      <c r="C25" s="6">
        <v>3.5714285714285716</v>
      </c>
    </row>
    <row r="26" spans="1:3">
      <c r="A26" t="s">
        <v>47</v>
      </c>
      <c r="B26" s="5">
        <v>6</v>
      </c>
      <c r="C26" s="6">
        <v>3.4166666666666665</v>
      </c>
    </row>
    <row r="27" spans="1:3">
      <c r="A27" t="s">
        <v>29</v>
      </c>
      <c r="B27" s="5">
        <v>8</v>
      </c>
      <c r="C27" s="6">
        <v>3.4875000000000003</v>
      </c>
    </row>
    <row r="28" spans="1:3">
      <c r="A28" t="s">
        <v>175</v>
      </c>
      <c r="B28" s="5">
        <v>4</v>
      </c>
      <c r="C28" s="6">
        <v>2.9249999999999998</v>
      </c>
    </row>
    <row r="29" spans="1:3">
      <c r="A29" t="s">
        <v>88</v>
      </c>
      <c r="B29" s="5">
        <v>5</v>
      </c>
      <c r="C29" s="6">
        <v>3.2399999999999998</v>
      </c>
    </row>
    <row r="30" spans="1:3">
      <c r="A30" t="s">
        <v>62</v>
      </c>
      <c r="B30" s="5">
        <v>6</v>
      </c>
      <c r="C30" s="6">
        <v>2.9499999999999997</v>
      </c>
    </row>
    <row r="31" spans="1:3">
      <c r="A31" t="s">
        <v>86</v>
      </c>
      <c r="B31" s="5">
        <v>9</v>
      </c>
      <c r="C31" s="6">
        <v>3.3555555555555561</v>
      </c>
    </row>
    <row r="32" spans="1:3">
      <c r="A32" t="s">
        <v>57</v>
      </c>
      <c r="B32" s="5">
        <v>7</v>
      </c>
      <c r="C32" s="6">
        <v>2.6142857142857143</v>
      </c>
    </row>
    <row r="33" spans="1:3">
      <c r="A33" t="s">
        <v>247</v>
      </c>
      <c r="B33" s="5">
        <v>200</v>
      </c>
      <c r="C33" s="6">
        <v>3.1345000000000001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7AAF3-248F-400A-9FCB-74821619B8CA}">
  <dimension ref="C5:F123"/>
  <sheetViews>
    <sheetView workbookViewId="0">
      <selection activeCell="F13" sqref="F13"/>
    </sheetView>
  </sheetViews>
  <sheetFormatPr defaultRowHeight="15"/>
  <cols>
    <col min="3" max="3" width="11.85546875" bestFit="1" customWidth="1"/>
    <col min="4" max="4" width="20" bestFit="1" customWidth="1"/>
  </cols>
  <sheetData>
    <row r="5" spans="3:6">
      <c r="C5" s="4" t="s">
        <v>3</v>
      </c>
      <c r="D5" t="s">
        <v>323</v>
      </c>
    </row>
    <row r="6" spans="3:6">
      <c r="C6">
        <v>15</v>
      </c>
      <c r="D6" s="5">
        <v>4</v>
      </c>
    </row>
    <row r="7" spans="3:6">
      <c r="C7">
        <v>16</v>
      </c>
      <c r="D7" s="5">
        <v>1</v>
      </c>
    </row>
    <row r="8" spans="3:6">
      <c r="C8">
        <v>17</v>
      </c>
      <c r="D8" s="5">
        <v>1</v>
      </c>
    </row>
    <row r="9" spans="3:6">
      <c r="C9">
        <v>18</v>
      </c>
      <c r="D9" s="5">
        <v>1</v>
      </c>
    </row>
    <row r="10" spans="3:6">
      <c r="C10">
        <v>19</v>
      </c>
      <c r="D10" s="5">
        <v>1</v>
      </c>
    </row>
    <row r="11" spans="3:6">
      <c r="C11">
        <v>20</v>
      </c>
      <c r="D11" s="5">
        <v>1</v>
      </c>
    </row>
    <row r="12" spans="3:6">
      <c r="C12">
        <v>22</v>
      </c>
      <c r="D12" s="5">
        <v>2</v>
      </c>
    </row>
    <row r="13" spans="3:6">
      <c r="C13">
        <v>25</v>
      </c>
      <c r="D13" s="5">
        <v>4</v>
      </c>
      <c r="F13" s="15" t="s">
        <v>30</v>
      </c>
    </row>
    <row r="14" spans="3:6">
      <c r="C14">
        <v>26</v>
      </c>
      <c r="D14" s="5">
        <v>1</v>
      </c>
    </row>
    <row r="15" spans="3:6">
      <c r="C15">
        <v>28</v>
      </c>
      <c r="D15" s="5">
        <v>2</v>
      </c>
    </row>
    <row r="16" spans="3:6">
      <c r="C16">
        <v>30</v>
      </c>
      <c r="D16" s="5">
        <v>1</v>
      </c>
    </row>
    <row r="17" spans="3:4">
      <c r="C17">
        <v>33</v>
      </c>
      <c r="D17" s="5">
        <v>1</v>
      </c>
    </row>
    <row r="18" spans="3:4">
      <c r="C18">
        <v>35</v>
      </c>
      <c r="D18" s="5">
        <v>4</v>
      </c>
    </row>
    <row r="19" spans="3:4">
      <c r="C19">
        <v>36</v>
      </c>
      <c r="D19" s="5">
        <v>2</v>
      </c>
    </row>
    <row r="20" spans="3:4">
      <c r="C20">
        <v>38</v>
      </c>
      <c r="D20" s="5">
        <v>2</v>
      </c>
    </row>
    <row r="21" spans="3:4">
      <c r="C21">
        <v>39</v>
      </c>
      <c r="D21" s="5">
        <v>1</v>
      </c>
    </row>
    <row r="22" spans="3:4">
      <c r="C22">
        <v>40</v>
      </c>
      <c r="D22" s="5">
        <v>2</v>
      </c>
    </row>
    <row r="23" spans="3:4">
      <c r="C23">
        <v>41</v>
      </c>
      <c r="D23" s="5">
        <v>2</v>
      </c>
    </row>
    <row r="24" spans="3:4">
      <c r="C24">
        <v>42</v>
      </c>
      <c r="D24" s="5">
        <v>1</v>
      </c>
    </row>
    <row r="25" spans="3:4">
      <c r="C25">
        <v>43</v>
      </c>
      <c r="D25" s="5">
        <v>1</v>
      </c>
    </row>
    <row r="26" spans="3:4">
      <c r="C26">
        <v>45</v>
      </c>
      <c r="D26" s="5">
        <v>1</v>
      </c>
    </row>
    <row r="27" spans="3:4">
      <c r="C27">
        <v>46</v>
      </c>
      <c r="D27" s="5">
        <v>2</v>
      </c>
    </row>
    <row r="28" spans="3:4">
      <c r="C28">
        <v>50</v>
      </c>
      <c r="D28" s="5">
        <v>1</v>
      </c>
    </row>
    <row r="29" spans="3:4">
      <c r="C29">
        <v>53</v>
      </c>
      <c r="D29" s="5">
        <v>2</v>
      </c>
    </row>
    <row r="30" spans="3:4">
      <c r="C30">
        <v>54</v>
      </c>
      <c r="D30" s="5">
        <v>1</v>
      </c>
    </row>
    <row r="31" spans="3:4">
      <c r="C31">
        <v>55</v>
      </c>
      <c r="D31" s="5">
        <v>3</v>
      </c>
    </row>
    <row r="32" spans="3:4">
      <c r="C32">
        <v>57</v>
      </c>
      <c r="D32" s="5">
        <v>1</v>
      </c>
    </row>
    <row r="33" spans="3:4">
      <c r="C33">
        <v>59</v>
      </c>
      <c r="D33" s="5">
        <v>1</v>
      </c>
    </row>
    <row r="34" spans="3:4">
      <c r="C34">
        <v>60</v>
      </c>
      <c r="D34" s="5">
        <v>1</v>
      </c>
    </row>
    <row r="35" spans="3:4">
      <c r="C35">
        <v>61</v>
      </c>
      <c r="D35" s="5">
        <v>1</v>
      </c>
    </row>
    <row r="36" spans="3:4">
      <c r="C36">
        <v>62</v>
      </c>
      <c r="D36" s="5">
        <v>1</v>
      </c>
    </row>
    <row r="37" spans="3:4">
      <c r="C37">
        <v>63</v>
      </c>
      <c r="D37" s="5">
        <v>1</v>
      </c>
    </row>
    <row r="38" spans="3:4">
      <c r="C38">
        <v>64</v>
      </c>
      <c r="D38" s="5">
        <v>1</v>
      </c>
    </row>
    <row r="39" spans="3:4">
      <c r="C39">
        <v>65</v>
      </c>
      <c r="D39" s="5">
        <v>3</v>
      </c>
    </row>
    <row r="40" spans="3:4">
      <c r="C40">
        <v>66</v>
      </c>
      <c r="D40" s="5">
        <v>1</v>
      </c>
    </row>
    <row r="41" spans="3:4">
      <c r="C41">
        <v>68</v>
      </c>
      <c r="D41" s="5">
        <v>1</v>
      </c>
    </row>
    <row r="42" spans="3:4">
      <c r="C42">
        <v>69</v>
      </c>
      <c r="D42" s="5">
        <v>3</v>
      </c>
    </row>
    <row r="43" spans="3:4">
      <c r="C43">
        <v>70</v>
      </c>
      <c r="D43" s="5">
        <v>2</v>
      </c>
    </row>
    <row r="44" spans="3:4">
      <c r="C44">
        <v>72</v>
      </c>
      <c r="D44" s="5">
        <v>1</v>
      </c>
    </row>
    <row r="45" spans="3:4">
      <c r="C45">
        <v>73</v>
      </c>
      <c r="D45" s="5">
        <v>2</v>
      </c>
    </row>
    <row r="46" spans="3:4">
      <c r="C46">
        <v>74</v>
      </c>
      <c r="D46" s="5">
        <v>3</v>
      </c>
    </row>
    <row r="47" spans="3:4">
      <c r="C47">
        <v>75</v>
      </c>
      <c r="D47" s="5">
        <v>3</v>
      </c>
    </row>
    <row r="48" spans="3:4">
      <c r="C48">
        <v>76</v>
      </c>
      <c r="D48" s="5">
        <v>2</v>
      </c>
    </row>
    <row r="49" spans="3:4">
      <c r="C49">
        <v>77</v>
      </c>
      <c r="D49" s="5">
        <v>2</v>
      </c>
    </row>
    <row r="50" spans="3:4">
      <c r="C50">
        <v>78</v>
      </c>
      <c r="D50" s="5">
        <v>1</v>
      </c>
    </row>
    <row r="51" spans="3:4">
      <c r="C51">
        <v>79</v>
      </c>
      <c r="D51" s="5">
        <v>2</v>
      </c>
    </row>
    <row r="52" spans="3:4">
      <c r="C52">
        <v>82</v>
      </c>
      <c r="D52" s="5">
        <v>1</v>
      </c>
    </row>
    <row r="53" spans="3:4">
      <c r="C53">
        <v>83</v>
      </c>
      <c r="D53" s="5">
        <v>3</v>
      </c>
    </row>
    <row r="54" spans="3:4">
      <c r="C54">
        <v>84</v>
      </c>
      <c r="D54" s="5">
        <v>1</v>
      </c>
    </row>
    <row r="55" spans="3:4">
      <c r="C55">
        <v>86</v>
      </c>
      <c r="D55" s="5">
        <v>4</v>
      </c>
    </row>
    <row r="56" spans="3:4">
      <c r="C56">
        <v>87</v>
      </c>
      <c r="D56" s="5">
        <v>1</v>
      </c>
    </row>
    <row r="57" spans="3:4">
      <c r="C57">
        <v>88</v>
      </c>
      <c r="D57" s="5">
        <v>1</v>
      </c>
    </row>
    <row r="58" spans="3:4">
      <c r="C58">
        <v>89</v>
      </c>
      <c r="D58" s="5">
        <v>1</v>
      </c>
    </row>
    <row r="59" spans="3:4">
      <c r="C59">
        <v>90</v>
      </c>
      <c r="D59" s="5">
        <v>1</v>
      </c>
    </row>
    <row r="60" spans="3:4">
      <c r="C60">
        <v>91</v>
      </c>
      <c r="D60" s="5">
        <v>3</v>
      </c>
    </row>
    <row r="61" spans="3:4">
      <c r="C61">
        <v>92</v>
      </c>
      <c r="D61" s="5">
        <v>1</v>
      </c>
    </row>
    <row r="62" spans="3:4">
      <c r="C62">
        <v>93</v>
      </c>
      <c r="D62" s="5">
        <v>1</v>
      </c>
    </row>
    <row r="63" spans="3:4">
      <c r="C63">
        <v>94</v>
      </c>
      <c r="D63" s="5">
        <v>1</v>
      </c>
    </row>
    <row r="64" spans="3:4">
      <c r="C64">
        <v>97</v>
      </c>
      <c r="D64" s="5">
        <v>2</v>
      </c>
    </row>
    <row r="65" spans="3:4">
      <c r="C65">
        <v>98</v>
      </c>
      <c r="D65" s="5">
        <v>2</v>
      </c>
    </row>
    <row r="66" spans="3:4">
      <c r="C66">
        <v>99</v>
      </c>
      <c r="D66" s="5">
        <v>4</v>
      </c>
    </row>
    <row r="67" spans="3:4">
      <c r="C67">
        <v>100</v>
      </c>
      <c r="D67" s="5">
        <v>1</v>
      </c>
    </row>
    <row r="68" spans="3:4">
      <c r="C68">
        <v>103</v>
      </c>
      <c r="D68" s="5">
        <v>3</v>
      </c>
    </row>
    <row r="69" spans="3:4">
      <c r="C69">
        <v>104</v>
      </c>
      <c r="D69" s="5">
        <v>1</v>
      </c>
    </row>
    <row r="70" spans="3:4">
      <c r="C70">
        <v>105</v>
      </c>
      <c r="D70" s="5">
        <v>1</v>
      </c>
    </row>
    <row r="71" spans="3:4">
      <c r="C71">
        <v>109</v>
      </c>
      <c r="D71" s="5">
        <v>1</v>
      </c>
    </row>
    <row r="72" spans="3:4">
      <c r="C72">
        <v>110</v>
      </c>
      <c r="D72" s="5">
        <v>1</v>
      </c>
    </row>
    <row r="73" spans="3:4">
      <c r="C73">
        <v>112</v>
      </c>
      <c r="D73" s="5">
        <v>4</v>
      </c>
    </row>
    <row r="74" spans="3:4">
      <c r="C74">
        <v>113</v>
      </c>
      <c r="D74" s="5">
        <v>2</v>
      </c>
    </row>
    <row r="75" spans="3:4">
      <c r="C75">
        <v>114</v>
      </c>
      <c r="D75" s="5">
        <v>1</v>
      </c>
    </row>
    <row r="76" spans="3:4">
      <c r="C76">
        <v>115</v>
      </c>
      <c r="D76" s="5">
        <v>1</v>
      </c>
    </row>
    <row r="77" spans="3:4">
      <c r="C77">
        <v>116</v>
      </c>
      <c r="D77" s="5">
        <v>1</v>
      </c>
    </row>
    <row r="78" spans="3:4">
      <c r="C78">
        <v>117</v>
      </c>
      <c r="D78" s="5">
        <v>2</v>
      </c>
    </row>
    <row r="79" spans="3:4">
      <c r="C79">
        <v>118</v>
      </c>
      <c r="D79" s="5">
        <v>1</v>
      </c>
    </row>
    <row r="80" spans="3:4">
      <c r="C80">
        <v>119</v>
      </c>
      <c r="D80" s="5">
        <v>1</v>
      </c>
    </row>
    <row r="81" spans="3:4">
      <c r="C81">
        <v>121</v>
      </c>
      <c r="D81" s="5">
        <v>2</v>
      </c>
    </row>
    <row r="82" spans="3:4">
      <c r="C82">
        <v>122</v>
      </c>
      <c r="D82" s="5">
        <v>1</v>
      </c>
    </row>
    <row r="83" spans="3:4">
      <c r="C83">
        <v>123</v>
      </c>
      <c r="D83" s="5">
        <v>1</v>
      </c>
    </row>
    <row r="84" spans="3:4">
      <c r="C84">
        <v>124</v>
      </c>
      <c r="D84" s="5">
        <v>3</v>
      </c>
    </row>
    <row r="85" spans="3:4">
      <c r="C85">
        <v>125</v>
      </c>
      <c r="D85" s="5">
        <v>2</v>
      </c>
    </row>
    <row r="86" spans="3:4">
      <c r="C86">
        <v>128</v>
      </c>
      <c r="D86" s="5">
        <v>1</v>
      </c>
    </row>
    <row r="87" spans="3:4">
      <c r="C87">
        <v>129</v>
      </c>
      <c r="D87" s="5">
        <v>1</v>
      </c>
    </row>
    <row r="88" spans="3:4">
      <c r="C88">
        <v>132</v>
      </c>
      <c r="D88" s="5">
        <v>2</v>
      </c>
    </row>
    <row r="89" spans="3:4">
      <c r="C89">
        <v>134</v>
      </c>
      <c r="D89" s="5">
        <v>2</v>
      </c>
    </row>
    <row r="90" spans="3:4">
      <c r="C90">
        <v>135</v>
      </c>
      <c r="D90" s="5">
        <v>1</v>
      </c>
    </row>
    <row r="91" spans="3:4">
      <c r="C91">
        <v>136</v>
      </c>
      <c r="D91" s="5">
        <v>3</v>
      </c>
    </row>
    <row r="92" spans="3:4">
      <c r="C92">
        <v>137</v>
      </c>
      <c r="D92" s="5">
        <v>1</v>
      </c>
    </row>
    <row r="93" spans="3:4">
      <c r="C93">
        <v>138</v>
      </c>
      <c r="D93" s="5">
        <v>3</v>
      </c>
    </row>
    <row r="94" spans="3:4">
      <c r="C94">
        <v>139</v>
      </c>
      <c r="D94" s="5">
        <v>2</v>
      </c>
    </row>
    <row r="95" spans="3:4">
      <c r="C95">
        <v>140</v>
      </c>
      <c r="D95" s="5">
        <v>1</v>
      </c>
    </row>
    <row r="96" spans="3:4">
      <c r="C96">
        <v>142</v>
      </c>
      <c r="D96" s="5">
        <v>1</v>
      </c>
    </row>
    <row r="97" spans="3:4">
      <c r="C97">
        <v>144</v>
      </c>
      <c r="D97" s="5">
        <v>1</v>
      </c>
    </row>
    <row r="98" spans="3:4">
      <c r="C98">
        <v>145</v>
      </c>
      <c r="D98" s="5">
        <v>2</v>
      </c>
    </row>
    <row r="99" spans="3:4">
      <c r="C99">
        <v>147</v>
      </c>
      <c r="D99" s="5">
        <v>2</v>
      </c>
    </row>
    <row r="100" spans="3:4">
      <c r="C100">
        <v>148</v>
      </c>
      <c r="D100" s="5">
        <v>3</v>
      </c>
    </row>
    <row r="101" spans="3:4">
      <c r="C101">
        <v>151</v>
      </c>
      <c r="D101" s="5">
        <v>1</v>
      </c>
    </row>
    <row r="102" spans="3:4">
      <c r="C102">
        <v>152</v>
      </c>
      <c r="D102" s="5">
        <v>2</v>
      </c>
    </row>
    <row r="103" spans="3:4">
      <c r="C103">
        <v>153</v>
      </c>
      <c r="D103" s="5">
        <v>2</v>
      </c>
    </row>
    <row r="104" spans="3:4">
      <c r="C104">
        <v>154</v>
      </c>
      <c r="D104" s="5">
        <v>2</v>
      </c>
    </row>
    <row r="105" spans="3:4">
      <c r="C105">
        <v>156</v>
      </c>
      <c r="D105" s="5">
        <v>2</v>
      </c>
    </row>
    <row r="106" spans="3:4">
      <c r="C106">
        <v>157</v>
      </c>
      <c r="D106" s="5">
        <v>2</v>
      </c>
    </row>
    <row r="107" spans="3:4">
      <c r="C107">
        <v>161</v>
      </c>
      <c r="D107" s="5">
        <v>1</v>
      </c>
    </row>
    <row r="108" spans="3:4">
      <c r="C108">
        <v>162</v>
      </c>
      <c r="D108" s="5">
        <v>2</v>
      </c>
    </row>
    <row r="109" spans="3:4">
      <c r="C109">
        <v>163</v>
      </c>
      <c r="D109" s="5">
        <v>2</v>
      </c>
    </row>
    <row r="110" spans="3:4">
      <c r="C110">
        <v>164</v>
      </c>
      <c r="D110" s="5">
        <v>1</v>
      </c>
    </row>
    <row r="111" spans="3:4">
      <c r="C111">
        <v>165</v>
      </c>
      <c r="D111" s="5">
        <v>1</v>
      </c>
    </row>
    <row r="112" spans="3:4">
      <c r="C112">
        <v>166</v>
      </c>
      <c r="D112" s="5">
        <v>1</v>
      </c>
    </row>
    <row r="113" spans="3:4">
      <c r="C113">
        <v>167</v>
      </c>
      <c r="D113" s="5">
        <v>3</v>
      </c>
    </row>
    <row r="114" spans="3:4">
      <c r="C114">
        <v>169</v>
      </c>
      <c r="D114" s="5">
        <v>1</v>
      </c>
    </row>
    <row r="115" spans="3:4">
      <c r="C115">
        <v>170</v>
      </c>
      <c r="D115" s="5">
        <v>2</v>
      </c>
    </row>
    <row r="116" spans="3:4">
      <c r="C116">
        <v>173</v>
      </c>
      <c r="D116" s="5">
        <v>2</v>
      </c>
    </row>
    <row r="117" spans="3:4">
      <c r="C117">
        <v>174</v>
      </c>
      <c r="D117" s="5">
        <v>1</v>
      </c>
    </row>
    <row r="118" spans="3:4">
      <c r="C118">
        <v>175</v>
      </c>
      <c r="D118" s="5">
        <v>3</v>
      </c>
    </row>
    <row r="119" spans="3:4">
      <c r="C119">
        <v>176</v>
      </c>
      <c r="D119" s="5">
        <v>2</v>
      </c>
    </row>
    <row r="120" spans="3:4">
      <c r="C120">
        <v>177</v>
      </c>
      <c r="D120" s="5">
        <v>4</v>
      </c>
    </row>
    <row r="121" spans="3:4">
      <c r="C121">
        <v>178</v>
      </c>
      <c r="D121" s="5">
        <v>1</v>
      </c>
    </row>
    <row r="122" spans="3:4">
      <c r="C122">
        <v>179</v>
      </c>
      <c r="D122" s="5">
        <v>1</v>
      </c>
    </row>
    <row r="123" spans="3:4">
      <c r="C123" t="s">
        <v>247</v>
      </c>
      <c r="D123" s="5">
        <v>200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DB718-F8BC-4CA3-B820-67791E087AA8}">
  <dimension ref="A3:M11"/>
  <sheetViews>
    <sheetView workbookViewId="0">
      <selection activeCell="M11" sqref="M11"/>
    </sheetView>
  </sheetViews>
  <sheetFormatPr defaultRowHeight="15"/>
  <cols>
    <col min="1" max="1" width="20" bestFit="1" customWidth="1"/>
    <col min="2" max="2" width="16.140625" bestFit="1" customWidth="1"/>
    <col min="3" max="4" width="8.28515625" bestFit="1" customWidth="1"/>
    <col min="5" max="5" width="11.28515625" bestFit="1" customWidth="1"/>
    <col min="6" max="6" width="9" bestFit="1" customWidth="1"/>
    <col min="7" max="7" width="6.28515625" bestFit="1" customWidth="1"/>
    <col min="8" max="8" width="8.85546875" bestFit="1" customWidth="1"/>
    <col min="9" max="9" width="11.42578125" bestFit="1" customWidth="1"/>
  </cols>
  <sheetData>
    <row r="3" spans="1:13">
      <c r="A3" s="4" t="s">
        <v>248</v>
      </c>
      <c r="B3" s="4" t="s">
        <v>8</v>
      </c>
    </row>
    <row r="4" spans="1:13">
      <c r="A4" s="4" t="s">
        <v>4</v>
      </c>
      <c r="B4" t="s">
        <v>324</v>
      </c>
      <c r="C4" t="s">
        <v>325</v>
      </c>
      <c r="D4" t="s">
        <v>326</v>
      </c>
      <c r="E4" t="s">
        <v>327</v>
      </c>
      <c r="F4" t="s">
        <v>328</v>
      </c>
      <c r="G4" t="s">
        <v>329</v>
      </c>
      <c r="H4" t="s">
        <v>330</v>
      </c>
      <c r="I4" t="s">
        <v>247</v>
      </c>
    </row>
    <row r="5" spans="1:13">
      <c r="A5" t="s">
        <v>37</v>
      </c>
      <c r="B5" s="5">
        <v>3</v>
      </c>
      <c r="C5" s="5">
        <v>3</v>
      </c>
      <c r="D5" s="5">
        <v>3</v>
      </c>
      <c r="E5" s="5">
        <v>6</v>
      </c>
      <c r="F5" s="5">
        <v>8</v>
      </c>
      <c r="G5" s="5">
        <v>5</v>
      </c>
      <c r="H5" s="5">
        <v>5</v>
      </c>
      <c r="I5" s="14">
        <v>33</v>
      </c>
    </row>
    <row r="6" spans="1:13">
      <c r="A6" t="s">
        <v>13</v>
      </c>
      <c r="B6" s="5">
        <v>8</v>
      </c>
      <c r="C6" s="5">
        <v>4</v>
      </c>
      <c r="D6" s="5">
        <v>4</v>
      </c>
      <c r="E6" s="5">
        <v>11</v>
      </c>
      <c r="F6" s="5">
        <v>4</v>
      </c>
      <c r="G6" s="5">
        <v>3</v>
      </c>
      <c r="H6" s="5">
        <v>5</v>
      </c>
      <c r="I6" s="14">
        <v>39</v>
      </c>
    </row>
    <row r="7" spans="1:13">
      <c r="A7" t="s">
        <v>17</v>
      </c>
      <c r="B7" s="5">
        <v>6</v>
      </c>
      <c r="C7" s="5">
        <v>7</v>
      </c>
      <c r="D7" s="5">
        <v>7</v>
      </c>
      <c r="E7" s="5">
        <v>3</v>
      </c>
      <c r="F7" s="5">
        <v>5</v>
      </c>
      <c r="G7" s="5">
        <v>5</v>
      </c>
      <c r="H7" s="5">
        <v>11</v>
      </c>
      <c r="I7" s="14">
        <v>44</v>
      </c>
    </row>
    <row r="8" spans="1:13">
      <c r="A8" t="s">
        <v>27</v>
      </c>
      <c r="B8" s="5">
        <v>6</v>
      </c>
      <c r="C8" s="5">
        <v>5</v>
      </c>
      <c r="D8" s="5">
        <v>4</v>
      </c>
      <c r="E8" s="5">
        <v>9</v>
      </c>
      <c r="F8" s="5">
        <v>5</v>
      </c>
      <c r="G8" s="5">
        <v>5</v>
      </c>
      <c r="H8" s="5">
        <v>8</v>
      </c>
      <c r="I8" s="14">
        <v>42</v>
      </c>
    </row>
    <row r="9" spans="1:13">
      <c r="A9" t="s">
        <v>22</v>
      </c>
      <c r="B9" s="5">
        <v>4</v>
      </c>
      <c r="C9" s="5">
        <v>12</v>
      </c>
      <c r="D9" s="5">
        <v>5</v>
      </c>
      <c r="E9" s="5">
        <v>5</v>
      </c>
      <c r="F9" s="5">
        <v>5</v>
      </c>
      <c r="G9" s="5">
        <v>6</v>
      </c>
      <c r="H9" s="5">
        <v>5</v>
      </c>
      <c r="I9" s="14">
        <v>42</v>
      </c>
    </row>
    <row r="10" spans="1:13">
      <c r="A10" t="s">
        <v>247</v>
      </c>
      <c r="B10" s="5">
        <v>27</v>
      </c>
      <c r="C10" s="5">
        <v>31</v>
      </c>
      <c r="D10" s="5">
        <v>23</v>
      </c>
      <c r="E10" s="5">
        <v>34</v>
      </c>
      <c r="F10" s="5">
        <v>27</v>
      </c>
      <c r="G10" s="5">
        <v>24</v>
      </c>
      <c r="H10" s="5">
        <v>34</v>
      </c>
      <c r="I10" s="5">
        <v>200</v>
      </c>
    </row>
    <row r="11" spans="1:13">
      <c r="M11" s="15" t="s">
        <v>30</v>
      </c>
    </row>
  </sheetData>
  <conditionalFormatting sqref="A5:H9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{05BEE977-A373-44C7-B9B0-54E7F2894370}</x14:id>
        </ext>
      </extLst>
    </cfRule>
  </conditionalFormatting>
  <conditionalFormatting sqref="A5:H9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{EAFA9390-401E-4C0F-8952-6E99BE1632B5}</x14:id>
        </ext>
      </extLst>
    </cfRule>
  </conditionalFormatting>
  <conditionalFormatting pivot="1" sqref="B5:H9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{E91CCAE0-649E-45C2-9D06-767AC2FA7B15}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5BEE977-A373-44C7-B9B0-54E7F28943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A5:H9</xm:sqref>
        </x14:conditionalFormatting>
        <x14:conditionalFormatting xmlns:xm="http://schemas.microsoft.com/office/excel/2006/main">
          <x14:cfRule type="dataBar" id="{EAFA9390-401E-4C0F-8952-6E99BE1632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A5:H9</xm:sqref>
        </x14:conditionalFormatting>
        <x14:conditionalFormatting xmlns:xm="http://schemas.microsoft.com/office/excel/2006/main" pivot="1">
          <x14:cfRule type="dataBar" id="{E91CCAE0-649E-45C2-9D06-767AC2FA7B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B5:H9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MD SHORIFUL ALAM ROBIN</cp:lastModifiedBy>
  <cp:revision/>
  <dcterms:created xsi:type="dcterms:W3CDTF">2026-05-14T11:25:46Z</dcterms:created>
  <dcterms:modified xsi:type="dcterms:W3CDTF">2026-05-14T15:27:51Z</dcterms:modified>
  <cp:category/>
  <cp:contentStatus/>
</cp:coreProperties>
</file>