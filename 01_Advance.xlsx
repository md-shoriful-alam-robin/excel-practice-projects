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755" documentId="11_E60897F41BE170836B02CE998F75CCDC64E183C8" xr6:coauthVersionLast="47" xr6:coauthVersionMax="47" xr10:uidLastSave="{651F43DC-9FA9-41F9-8BA2-CE8D07550486}"/>
  <bookViews>
    <workbookView xWindow="240" yWindow="105" windowWidth="14805" windowHeight="8010" firstSheet="8" activeTab="9" xr2:uid="{00000000-000D-0000-FFFF-FFFF00000000}"/>
  </bookViews>
  <sheets>
    <sheet name="Sheet1" sheetId="1" r:id="rId1"/>
    <sheet name="Average" sheetId="2" r:id="rId2"/>
    <sheet name="Filter" sheetId="3" r:id="rId3"/>
    <sheet name="Max-min" sheetId="4" r:id="rId4"/>
    <sheet name="Unique-counta" sheetId="5" r:id="rId5"/>
    <sheet name="Vlookup-Index-" sheetId="6" r:id="rId6"/>
    <sheet name="Xlookup-Inferror" sheetId="7" r:id="rId7"/>
    <sheet name="Xlookup-Max" sheetId="8" r:id="rId8"/>
    <sheet name="Filter+N" sheetId="9" r:id="rId9"/>
    <sheet name="Headcount+Salary+All Average" sheetId="10" r:id="rId10"/>
  </sheets>
  <definedNames>
    <definedName name="_xlnm._FilterDatabase" localSheetId="0" hidden="1">Sheet1!$A$1:$O$201</definedName>
    <definedName name="_xlnm._FilterDatabase" localSheetId="5" hidden="1">'Vlookup-Index-'!$A$1:$M$202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10" l="1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H9" i="10" a="1"/>
  <c r="H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9" i="10"/>
  <c r="F9" i="10" a="1"/>
  <c r="F9" i="10"/>
  <c r="E9" i="10" a="1"/>
  <c r="E9" i="10"/>
  <c r="D9" i="10" a="1"/>
  <c r="D9" i="10"/>
  <c r="G6" i="10"/>
  <c r="F6" i="10"/>
  <c r="E6" i="10"/>
  <c r="C4" i="9" a="1"/>
  <c r="C4" i="9"/>
  <c r="C4" i="1" a="1"/>
  <c r="C4" i="1"/>
  <c r="F9" i="8" a="1"/>
  <c r="F9" i="8"/>
  <c r="E9" i="8" a="1"/>
  <c r="E9" i="8"/>
  <c r="E4" i="8"/>
  <c r="E3" i="8"/>
  <c r="E13" i="7"/>
  <c r="F5" i="7"/>
  <c r="F8" i="7"/>
  <c r="F6" i="7"/>
  <c r="F7" i="7"/>
  <c r="C9" i="6"/>
  <c r="C10" i="6"/>
  <c r="C12" i="6"/>
  <c r="C11" i="6"/>
  <c r="C9" i="1"/>
  <c r="G4" i="5"/>
  <c r="E4" i="5" a="1"/>
  <c r="E4" i="5"/>
  <c r="D11" i="4"/>
  <c r="D12" i="4"/>
  <c r="D13" i="4"/>
  <c r="D14" i="4"/>
  <c r="D10" i="4"/>
  <c r="D9" i="4"/>
  <c r="D8" i="4"/>
  <c r="R127" i="3" a="1"/>
  <c r="R127" i="3"/>
  <c r="K127" i="3" a="1"/>
  <c r="K127" i="3"/>
  <c r="K126" i="3" a="1"/>
  <c r="K126" i="3"/>
  <c r="R126" i="3" a="1"/>
  <c r="R126" i="3"/>
  <c r="C126" i="3" a="1"/>
  <c r="C126" i="3"/>
  <c r="D3" i="3" a="1"/>
  <c r="D3" i="3"/>
  <c r="C127" i="3" a="1"/>
  <c r="C127" i="3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G4" i="2"/>
  <c r="D4" i="3" a="1"/>
  <c r="D4" i="3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4" i="2"/>
  <c r="C25" i="6" l="1"/>
  <c r="C24" i="6"/>
  <c r="C23" i="6"/>
  <c r="C21" i="6"/>
  <c r="E23" i="6" s="1" a="1"/>
  <c r="E23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<sst xmlns="http://schemas.openxmlformats.org/spreadsheetml/2006/main" count="2064" uniqueCount="417">
  <si>
    <t>Emp_ID</t>
  </si>
  <si>
    <t>First_Name</t>
  </si>
  <si>
    <t>Last_Name</t>
  </si>
  <si>
    <t>Gender</t>
  </si>
  <si>
    <t>Department</t>
  </si>
  <si>
    <t>Salary</t>
  </si>
  <si>
    <t>Salary_Bucket</t>
  </si>
  <si>
    <t>Start_Date</t>
  </si>
  <si>
    <t>FTE</t>
  </si>
  <si>
    <t>Employee type</t>
  </si>
  <si>
    <t>Work_location</t>
  </si>
  <si>
    <t>Tenure</t>
  </si>
  <si>
    <t>Work_Type</t>
  </si>
  <si>
    <t>PR73015</t>
  </si>
  <si>
    <t>Minerva</t>
  </si>
  <si>
    <t>Nelson</t>
  </si>
  <si>
    <t>Female</t>
  </si>
  <si>
    <t>Engineering</t>
  </si>
  <si>
    <t>50k to 100k</t>
  </si>
  <si>
    <t>Permanent</t>
  </si>
  <si>
    <t>Sydney</t>
  </si>
  <si>
    <t>Australia</t>
  </si>
  <si>
    <t>Contract</t>
  </si>
  <si>
    <t>PR11892</t>
  </si>
  <si>
    <t>Ingrid</t>
  </si>
  <si>
    <t>Brown</t>
  </si>
  <si>
    <t>Male</t>
  </si>
  <si>
    <t>Product Management</t>
  </si>
  <si>
    <t>Part time</t>
  </si>
  <si>
    <t>PR73751</t>
  </si>
  <si>
    <t>Manfred</t>
  </si>
  <si>
    <t>Customer Service</t>
  </si>
  <si>
    <t>Temporary</t>
  </si>
  <si>
    <t>Remote</t>
  </si>
  <si>
    <t>Full time</t>
  </si>
  <si>
    <t>PR96753</t>
  </si>
  <si>
    <t>Anna</t>
  </si>
  <si>
    <t>Scott</t>
  </si>
  <si>
    <t>Under 50k</t>
  </si>
  <si>
    <t>Chicago</t>
  </si>
  <si>
    <t>USA</t>
  </si>
  <si>
    <t>PR91404</t>
  </si>
  <si>
    <t>Michael</t>
  </si>
  <si>
    <t>Mitchell</t>
  </si>
  <si>
    <t>Finance</t>
  </si>
  <si>
    <t>Above 100k</t>
  </si>
  <si>
    <t>New York</t>
  </si>
  <si>
    <t>Freelance</t>
  </si>
  <si>
    <t>PR26442</t>
  </si>
  <si>
    <t>Andreas</t>
  </si>
  <si>
    <t>Smith</t>
  </si>
  <si>
    <t>IT</t>
  </si>
  <si>
    <t>PR42680</t>
  </si>
  <si>
    <t>Jill</t>
  </si>
  <si>
    <t>Adams</t>
  </si>
  <si>
    <t>Business Development</t>
  </si>
  <si>
    <t>Toronto</t>
  </si>
  <si>
    <t>Canada</t>
  </si>
  <si>
    <t>PR37088</t>
  </si>
  <si>
    <t>Günter</t>
  </si>
  <si>
    <t>Operations</t>
  </si>
  <si>
    <t>Tokyo</t>
  </si>
  <si>
    <t>Japan</t>
  </si>
  <si>
    <t>PR44252</t>
  </si>
  <si>
    <t>Robert</t>
  </si>
  <si>
    <t>King</t>
  </si>
  <si>
    <t>PR43906</t>
  </si>
  <si>
    <t>Horst</t>
  </si>
  <si>
    <t>Perez</t>
  </si>
  <si>
    <t>Marketing</t>
  </si>
  <si>
    <t>Hyderabad</t>
  </si>
  <si>
    <t>India</t>
  </si>
  <si>
    <t>PR40245</t>
  </si>
  <si>
    <t>Ursula</t>
  </si>
  <si>
    <t>Hill</t>
  </si>
  <si>
    <t>Data Analytics</t>
  </si>
  <si>
    <t>London</t>
  </si>
  <si>
    <t>UK</t>
  </si>
  <si>
    <t>PR47648</t>
  </si>
  <si>
    <t>Brigitte</t>
  </si>
  <si>
    <t>Turner</t>
  </si>
  <si>
    <t>PR19000</t>
  </si>
  <si>
    <t>Davis</t>
  </si>
  <si>
    <t>Accounting</t>
  </si>
  <si>
    <t>Singapore</t>
  </si>
  <si>
    <t>PR66843</t>
  </si>
  <si>
    <t>David</t>
  </si>
  <si>
    <t>Torres</t>
  </si>
  <si>
    <t>Paris</t>
  </si>
  <si>
    <t>France</t>
  </si>
  <si>
    <t>PR71131</t>
  </si>
  <si>
    <t>Phillips</t>
  </si>
  <si>
    <t>Sales</t>
  </si>
  <si>
    <t>PR16247</t>
  </si>
  <si>
    <t>Peter</t>
  </si>
  <si>
    <t>Burnsyde</t>
  </si>
  <si>
    <t>PR55662</t>
  </si>
  <si>
    <t>Dieter</t>
  </si>
  <si>
    <t>Young</t>
  </si>
  <si>
    <t>PR25096</t>
  </si>
  <si>
    <t>Beryl</t>
  </si>
  <si>
    <t>Human Resources</t>
  </si>
  <si>
    <t>PR18560</t>
  </si>
  <si>
    <t>Petra</t>
  </si>
  <si>
    <t>Anderson</t>
  </si>
  <si>
    <t>Legal</t>
  </si>
  <si>
    <t>Mumbai</t>
  </si>
  <si>
    <t>PR56147</t>
  </si>
  <si>
    <t>Julia</t>
  </si>
  <si>
    <t>Fellgate</t>
  </si>
  <si>
    <t>Training</t>
  </si>
  <si>
    <t>PR70854</t>
  </si>
  <si>
    <t>Helmut</t>
  </si>
  <si>
    <t>Garcia</t>
  </si>
  <si>
    <t>PR14120</t>
  </si>
  <si>
    <t>Van</t>
  </si>
  <si>
    <t>Augar</t>
  </si>
  <si>
    <t>Dubai</t>
  </si>
  <si>
    <t>UAE</t>
  </si>
  <si>
    <t>PR32576</t>
  </si>
  <si>
    <t>Emma</t>
  </si>
  <si>
    <t>Moore</t>
  </si>
  <si>
    <t>PR95083</t>
  </si>
  <si>
    <t>Monika</t>
  </si>
  <si>
    <t>Harris</t>
  </si>
  <si>
    <t>PR34510</t>
  </si>
  <si>
    <t>Sarah</t>
  </si>
  <si>
    <t>Clark</t>
  </si>
  <si>
    <t>Columbus</t>
  </si>
  <si>
    <t>PR23233</t>
  </si>
  <si>
    <t>Klaus</t>
  </si>
  <si>
    <t>Berlin</t>
  </si>
  <si>
    <t>Germany</t>
  </si>
  <si>
    <t>PR63739</t>
  </si>
  <si>
    <t>Elfriede</t>
  </si>
  <si>
    <t>Green</t>
  </si>
  <si>
    <t>PR34176</t>
  </si>
  <si>
    <t>Lalitchandra</t>
  </si>
  <si>
    <t>Lewis</t>
  </si>
  <si>
    <t>PR74817</t>
  </si>
  <si>
    <t>PR78417</t>
  </si>
  <si>
    <t>Erich</t>
  </si>
  <si>
    <t>Research and Development</t>
  </si>
  <si>
    <t>PR42580</t>
  </si>
  <si>
    <t>Jones</t>
  </si>
  <si>
    <t>PR81010</t>
  </si>
  <si>
    <t>Wright</t>
  </si>
  <si>
    <t>Wellington</t>
  </si>
  <si>
    <t>New Zealand</t>
  </si>
  <si>
    <t>PR61931</t>
  </si>
  <si>
    <t>Lothar</t>
  </si>
  <si>
    <t>PR72083</t>
  </si>
  <si>
    <t>Jürgen</t>
  </si>
  <si>
    <t>PR77997</t>
  </si>
  <si>
    <t>Hans</t>
  </si>
  <si>
    <t>PR58406</t>
  </si>
  <si>
    <t>Chapelbow</t>
  </si>
  <si>
    <t>PR48030</t>
  </si>
  <si>
    <t>Walker</t>
  </si>
  <si>
    <t>PR72197</t>
  </si>
  <si>
    <t>Maria</t>
  </si>
  <si>
    <t>Flores</t>
  </si>
  <si>
    <t>PR47581</t>
  </si>
  <si>
    <t>Hall</t>
  </si>
  <si>
    <t>PR89785</t>
  </si>
  <si>
    <t>Veeravasarapu</t>
  </si>
  <si>
    <t>PR18247</t>
  </si>
  <si>
    <t>James</t>
  </si>
  <si>
    <t>Ricardot</t>
  </si>
  <si>
    <t>PR33378</t>
  </si>
  <si>
    <t>PR96736</t>
  </si>
  <si>
    <t>Hildegard</t>
  </si>
  <si>
    <t>Campbell</t>
  </si>
  <si>
    <t>PR22410</t>
  </si>
  <si>
    <t>Laura</t>
  </si>
  <si>
    <t>Johnson</t>
  </si>
  <si>
    <t>PR12393</t>
  </si>
  <si>
    <t>PR31386</t>
  </si>
  <si>
    <t>Thomas</t>
  </si>
  <si>
    <t>PR70590</t>
  </si>
  <si>
    <t>Torrance</t>
  </si>
  <si>
    <t>Vadali</t>
  </si>
  <si>
    <t>PR89803</t>
  </si>
  <si>
    <t>PR21693</t>
  </si>
  <si>
    <t>Martinez</t>
  </si>
  <si>
    <t>PR22638</t>
  </si>
  <si>
    <t>PR41569</t>
  </si>
  <si>
    <t>White</t>
  </si>
  <si>
    <t>PR84680</t>
  </si>
  <si>
    <t>Robinson</t>
  </si>
  <si>
    <t>PR76507</t>
  </si>
  <si>
    <t>Martin</t>
  </si>
  <si>
    <t>PR33397</t>
  </si>
  <si>
    <t>PR45681</t>
  </si>
  <si>
    <t>Bernd</t>
  </si>
  <si>
    <t>PR91811</t>
  </si>
  <si>
    <t>Siegfried</t>
  </si>
  <si>
    <t>PR76983</t>
  </si>
  <si>
    <t>Inger</t>
  </si>
  <si>
    <t>PR65183</t>
  </si>
  <si>
    <t>PR11368</t>
  </si>
  <si>
    <t>PR14854</t>
  </si>
  <si>
    <t>Taylor</t>
  </si>
  <si>
    <t>PR93397</t>
  </si>
  <si>
    <t>Sophie</t>
  </si>
  <si>
    <t>PR18326</t>
  </si>
  <si>
    <t>Hannelore</t>
  </si>
  <si>
    <t>PR20460</t>
  </si>
  <si>
    <t>PR59070</t>
  </si>
  <si>
    <t>PR63237</t>
  </si>
  <si>
    <t>PR45497</t>
  </si>
  <si>
    <t>Heike</t>
  </si>
  <si>
    <t>PR43763</t>
  </si>
  <si>
    <t>PR72967</t>
  </si>
  <si>
    <t>Nguyen</t>
  </si>
  <si>
    <t>PR65084</t>
  </si>
  <si>
    <t>Gerhard</t>
  </si>
  <si>
    <t>PR52944</t>
  </si>
  <si>
    <t>Rainer</t>
  </si>
  <si>
    <t>PR15008</t>
  </si>
  <si>
    <t>Markus</t>
  </si>
  <si>
    <t>Wilson</t>
  </si>
  <si>
    <t>PR27618</t>
  </si>
  <si>
    <t>Roberts</t>
  </si>
  <si>
    <t>PR95177</t>
  </si>
  <si>
    <t>PR38454</t>
  </si>
  <si>
    <t>PR78020</t>
  </si>
  <si>
    <t>PR40477</t>
  </si>
  <si>
    <t>Nicole</t>
  </si>
  <si>
    <t>PR77328</t>
  </si>
  <si>
    <t>Damarsingh</t>
  </si>
  <si>
    <t>PR34262</t>
  </si>
  <si>
    <t>PR80243</t>
  </si>
  <si>
    <t>Husein</t>
  </si>
  <si>
    <t>Jackson</t>
  </si>
  <si>
    <t>PR74629</t>
  </si>
  <si>
    <t>Carter</t>
  </si>
  <si>
    <t>PR90840</t>
  </si>
  <si>
    <t>PR98182</t>
  </si>
  <si>
    <t>PR91157</t>
  </si>
  <si>
    <t>PR69530</t>
  </si>
  <si>
    <t>Konrad</t>
  </si>
  <si>
    <t>PR82142</t>
  </si>
  <si>
    <t>PR63635</t>
  </si>
  <si>
    <t>PR47016</t>
  </si>
  <si>
    <t>Collier</t>
  </si>
  <si>
    <t>PR93463</t>
  </si>
  <si>
    <t>Shipsey</t>
  </si>
  <si>
    <t>PR98095</t>
  </si>
  <si>
    <t>Vasavi</t>
  </si>
  <si>
    <t>PR61061</t>
  </si>
  <si>
    <t>PR78766</t>
  </si>
  <si>
    <t>PR91052</t>
  </si>
  <si>
    <t>PR35851</t>
  </si>
  <si>
    <t>PR53386</t>
  </si>
  <si>
    <t>Iles</t>
  </si>
  <si>
    <t>PR80636</t>
  </si>
  <si>
    <t>Parker</t>
  </si>
  <si>
    <t>PR82422</t>
  </si>
  <si>
    <t>PR43198</t>
  </si>
  <si>
    <t>PR70509</t>
  </si>
  <si>
    <t>Hogan</t>
  </si>
  <si>
    <t>PR54417</t>
  </si>
  <si>
    <t>PR49602</t>
  </si>
  <si>
    <t>Billi</t>
  </si>
  <si>
    <t>PR26226</t>
  </si>
  <si>
    <t>PR13247</t>
  </si>
  <si>
    <t>PR73755</t>
  </si>
  <si>
    <t>PR44590</t>
  </si>
  <si>
    <t>PR11905</t>
  </si>
  <si>
    <t>PR27029</t>
  </si>
  <si>
    <t>PR87418</t>
  </si>
  <si>
    <t>PR29693</t>
  </si>
  <si>
    <t>Lisa</t>
  </si>
  <si>
    <t>PR21481</t>
  </si>
  <si>
    <t>Waltraud</t>
  </si>
  <si>
    <t>PR42301</t>
  </si>
  <si>
    <t>Williams</t>
  </si>
  <si>
    <t>PR60250</t>
  </si>
  <si>
    <t>PR20780</t>
  </si>
  <si>
    <t>Stefan</t>
  </si>
  <si>
    <t>PR49683</t>
  </si>
  <si>
    <t>PR78896</t>
  </si>
  <si>
    <t>PR95655</t>
  </si>
  <si>
    <t>PR30484</t>
  </si>
  <si>
    <t>PR55285</t>
  </si>
  <si>
    <t>PR39332</t>
  </si>
  <si>
    <t>PR58456</t>
  </si>
  <si>
    <t>Thompson</t>
  </si>
  <si>
    <t>PR57546</t>
  </si>
  <si>
    <t>Devrat</t>
  </si>
  <si>
    <t>PR75288</t>
  </si>
  <si>
    <t>PR40493</t>
  </si>
  <si>
    <t>Evans</t>
  </si>
  <si>
    <t>PR27384</t>
  </si>
  <si>
    <t>PR52722</t>
  </si>
  <si>
    <t>PR71709</t>
  </si>
  <si>
    <t>PR13962</t>
  </si>
  <si>
    <t>PR59861</t>
  </si>
  <si>
    <t>PR15721</t>
  </si>
  <si>
    <t>PR94239</t>
  </si>
  <si>
    <t>PR44140</t>
  </si>
  <si>
    <t>PR79291</t>
  </si>
  <si>
    <t>PR96102</t>
  </si>
  <si>
    <t>PR57148</t>
  </si>
  <si>
    <t>PR94385</t>
  </si>
  <si>
    <t>PR36551</t>
  </si>
  <si>
    <t>PR86832</t>
  </si>
  <si>
    <t>PR24955</t>
  </si>
  <si>
    <t>PR52161</t>
  </si>
  <si>
    <t>PR74996</t>
  </si>
  <si>
    <t>PR76979</t>
  </si>
  <si>
    <t>PR52184</t>
  </si>
  <si>
    <t>PR32967</t>
  </si>
  <si>
    <t>PR34112</t>
  </si>
  <si>
    <t>PR89053</t>
  </si>
  <si>
    <t>Allen</t>
  </si>
  <si>
    <t>PR79123</t>
  </si>
  <si>
    <t>PR78504</t>
  </si>
  <si>
    <t>PR95722</t>
  </si>
  <si>
    <t>PR30716</t>
  </si>
  <si>
    <t>PR90268</t>
  </si>
  <si>
    <t>PR74683</t>
  </si>
  <si>
    <t>PR39502</t>
  </si>
  <si>
    <t>PR50011</t>
  </si>
  <si>
    <t>PR54254</t>
  </si>
  <si>
    <t>PR67283</t>
  </si>
  <si>
    <t>Lee</t>
  </si>
  <si>
    <t>PR27285</t>
  </si>
  <si>
    <t>PR79579</t>
  </si>
  <si>
    <t>Werner</t>
  </si>
  <si>
    <t>PR26868</t>
  </si>
  <si>
    <t>PR43803</t>
  </si>
  <si>
    <t>PR43717</t>
  </si>
  <si>
    <t>PR38157</t>
  </si>
  <si>
    <t>PR25542</t>
  </si>
  <si>
    <t>PR23512</t>
  </si>
  <si>
    <t>PR95089</t>
  </si>
  <si>
    <t>PR95290</t>
  </si>
  <si>
    <t>PR89873</t>
  </si>
  <si>
    <t>PR98714</t>
  </si>
  <si>
    <t>PR36806</t>
  </si>
  <si>
    <t>PR91163</t>
  </si>
  <si>
    <t>Renate</t>
  </si>
  <si>
    <t>PR42912</t>
  </si>
  <si>
    <t>PR91250</t>
  </si>
  <si>
    <t>PR41114</t>
  </si>
  <si>
    <t>PR93997</t>
  </si>
  <si>
    <t>PR57427</t>
  </si>
  <si>
    <t>PR10336</t>
  </si>
  <si>
    <t>PR26397</t>
  </si>
  <si>
    <t>Rosemarie</t>
  </si>
  <si>
    <t>PR66051</t>
  </si>
  <si>
    <t>Miller</t>
  </si>
  <si>
    <t>PR30859</t>
  </si>
  <si>
    <t>PR85189</t>
  </si>
  <si>
    <t>PR47814</t>
  </si>
  <si>
    <t>PR10185</t>
  </si>
  <si>
    <t>PR40888</t>
  </si>
  <si>
    <t>PR71574</t>
  </si>
  <si>
    <t>PR45447</t>
  </si>
  <si>
    <t>PR36193</t>
  </si>
  <si>
    <t>PR97364</t>
  </si>
  <si>
    <t>PR25099</t>
  </si>
  <si>
    <t>PR29636</t>
  </si>
  <si>
    <t>PR73573</t>
  </si>
  <si>
    <t>PR83743</t>
  </si>
  <si>
    <t>PR40572</t>
  </si>
  <si>
    <t>PR50469</t>
  </si>
  <si>
    <t>PR61584</t>
  </si>
  <si>
    <t>PR10787</t>
  </si>
  <si>
    <t>Christina</t>
  </si>
  <si>
    <t>PR85215</t>
  </si>
  <si>
    <t>PR24187</t>
  </si>
  <si>
    <t>PR54578</t>
  </si>
  <si>
    <t>PR37608</t>
  </si>
  <si>
    <t>PR51276</t>
  </si>
  <si>
    <t>PR42232</t>
  </si>
  <si>
    <t>PR89630</t>
  </si>
  <si>
    <t>Robin</t>
  </si>
  <si>
    <t>Head Count</t>
  </si>
  <si>
    <t>Total Salary</t>
  </si>
  <si>
    <t>Avg. Salary</t>
  </si>
  <si>
    <t>10% Increase</t>
  </si>
  <si>
    <t>Avobe 100 Salary</t>
  </si>
  <si>
    <t>Lowest, Highest and Top 5 Salaries</t>
  </si>
  <si>
    <t>All EMPS</t>
  </si>
  <si>
    <t>Lowest Salarry</t>
  </si>
  <si>
    <t>Highest Salary</t>
  </si>
  <si>
    <t>Top 5 Salary</t>
  </si>
  <si>
    <t>Total Department</t>
  </si>
  <si>
    <t>,</t>
  </si>
  <si>
    <t>Employee Lookup</t>
  </si>
  <si>
    <t>Employee</t>
  </si>
  <si>
    <t>First name:</t>
  </si>
  <si>
    <t>Last name:</t>
  </si>
  <si>
    <t>Department:</t>
  </si>
  <si>
    <t>Employee ID</t>
  </si>
  <si>
    <t>Salary:</t>
  </si>
  <si>
    <t>Xlookup + caoonect with Clookup+ sheet1</t>
  </si>
  <si>
    <t>First Name</t>
  </si>
  <si>
    <t>salary</t>
  </si>
  <si>
    <t>EMP_ID</t>
  </si>
  <si>
    <t>Entire Data</t>
  </si>
  <si>
    <t>salary max</t>
  </si>
  <si>
    <t>One Person</t>
  </si>
  <si>
    <t>All person</t>
  </si>
  <si>
    <t>Total EMP</t>
  </si>
  <si>
    <t>Salary Avg.</t>
  </si>
  <si>
    <t>Salary Bucket</t>
  </si>
  <si>
    <t xml:space="preserve">ALL Department </t>
  </si>
  <si>
    <t xml:space="preserve">Department </t>
  </si>
  <si>
    <t>Headcount</t>
  </si>
  <si>
    <t>Avg. salary</t>
  </si>
  <si>
    <t>%diff form over all Average</t>
  </si>
  <si>
    <t>Highest-salary</t>
  </si>
  <si>
    <t>Median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</si>
</sst>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([$€-2]\ * #,##0.00_);_([$€-2]\ * \(#,##0.00\);_([$€-2]\ * &quot;-&quot;??_);_(@_)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Fill="1" applyAlignment="1"/>
    <xf numFmtId="8" fontId="1" fillId="0" borderId="0" xfId="0" applyNumberFormat="1" applyFont="1" applyFill="1" applyAlignment="1"/>
    <xf numFmtId="16" fontId="1" fillId="0" borderId="0" xfId="0" applyNumberFormat="1" applyFont="1" applyFill="1" applyAlignment="1"/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0" fontId="3" fillId="4" borderId="0" xfId="0" applyFont="1" applyFill="1" applyAlignment="1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0" applyNumberFormat="1" applyFont="1" applyFill="1" applyBorder="1"/>
    <xf numFmtId="0" fontId="0" fillId="3" borderId="3" xfId="0" applyFill="1" applyBorder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0" fillId="8" borderId="0" xfId="0" applyFill="1"/>
    <xf numFmtId="0" fontId="0" fillId="6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3" fillId="0" borderId="0" xfId="0" applyFont="1" applyFill="1" applyAlignment="1"/>
    <xf numFmtId="0" fontId="1" fillId="0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0" fillId="10" borderId="0" xfId="0" applyFill="1" applyAlignment="1">
      <alignment wrapText="1"/>
    </xf>
    <xf numFmtId="0" fontId="3" fillId="11" borderId="0" xfId="0" applyFont="1" applyFill="1" applyAlignment="1">
      <alignment wrapText="1"/>
    </xf>
    <xf numFmtId="0" fontId="3" fillId="11" borderId="0" xfId="0" applyFont="1" applyFill="1" applyAlignment="1"/>
    <xf numFmtId="0" fontId="3" fillId="10" borderId="0" xfId="0" applyFont="1" applyFill="1" applyAlignment="1"/>
    <xf numFmtId="0" fontId="2" fillId="10" borderId="0" xfId="0" applyFont="1" applyFill="1"/>
    <xf numFmtId="0" fontId="0" fillId="0" borderId="0" xfId="0" applyBorder="1"/>
    <xf numFmtId="0" fontId="2" fillId="0" borderId="0" xfId="0" applyFont="1" applyBorder="1"/>
    <xf numFmtId="0" fontId="0" fillId="3" borderId="4" xfId="0" applyFill="1" applyBorder="1"/>
    <xf numFmtId="0" fontId="0" fillId="0" borderId="4" xfId="0" applyBorder="1"/>
    <xf numFmtId="0" fontId="2" fillId="6" borderId="5" xfId="0" applyFont="1" applyFill="1" applyBorder="1"/>
    <xf numFmtId="0" fontId="0" fillId="6" borderId="5" xfId="0" applyFill="1" applyBorder="1"/>
    <xf numFmtId="8" fontId="0" fillId="0" borderId="4" xfId="0" applyNumberFormat="1" applyBorder="1"/>
    <xf numFmtId="0" fontId="0" fillId="6" borderId="5" xfId="0" applyFill="1" applyBorder="1" applyAlignment="1">
      <alignment wrapText="1"/>
    </xf>
    <xf numFmtId="0" fontId="2" fillId="0" borderId="0" xfId="0" applyFont="1"/>
    <xf numFmtId="0" fontId="1" fillId="3" borderId="0" xfId="0" applyFont="1" applyFill="1" applyAlignment="1"/>
    <xf numFmtId="0" fontId="1" fillId="7" borderId="5" xfId="0" applyFont="1" applyFill="1" applyBorder="1" applyAlignment="1"/>
    <xf numFmtId="0" fontId="1" fillId="12" borderId="5" xfId="0" applyFont="1" applyFill="1" applyBorder="1" applyAlignment="1">
      <alignment wrapText="1"/>
    </xf>
    <xf numFmtId="0" fontId="1" fillId="13" borderId="0" xfId="0" applyFont="1" applyFill="1" applyAlignment="1"/>
    <xf numFmtId="0" fontId="0" fillId="7" borderId="5" xfId="0" applyFill="1" applyBorder="1"/>
    <xf numFmtId="0" fontId="0" fillId="7" borderId="5" xfId="0" applyFill="1" applyBorder="1" applyAlignment="1">
      <alignment wrapText="1"/>
    </xf>
    <xf numFmtId="0" fontId="0" fillId="0" borderId="0" xfId="0" applyFill="1" applyBorder="1"/>
    <xf numFmtId="8" fontId="0" fillId="14" borderId="6" xfId="0" applyNumberFormat="1" applyFill="1" applyBorder="1" applyAlignment="1">
      <alignment wrapText="1"/>
    </xf>
    <xf numFmtId="8" fontId="0" fillId="0" borderId="0" xfId="0" applyNumberFormat="1"/>
    <xf numFmtId="0" fontId="0" fillId="8" borderId="5" xfId="0" applyFill="1" applyBorder="1" applyAlignment="1">
      <alignment wrapText="1"/>
    </xf>
    <xf numFmtId="0" fontId="2" fillId="3" borderId="0" xfId="0" applyFont="1" applyFill="1"/>
    <xf numFmtId="0" fontId="0" fillId="15" borderId="0" xfId="0" applyFill="1"/>
    <xf numFmtId="8" fontId="0" fillId="15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3"/>
  <sheetViews>
    <sheetView topLeftCell="A178" workbookViewId="0">
      <selection activeCell="H6" sqref="H6"/>
    </sheetView>
  </sheetViews>
  <sheetFormatPr defaultRowHeight="15"/>
  <cols>
    <col min="2" max="2" width="11.140625" bestFit="1" customWidth="1"/>
    <col min="3" max="3" width="10.7109375" bestFit="1" customWidth="1"/>
    <col min="7" max="7" width="13.42578125" bestFit="1" customWidth="1"/>
    <col min="8" max="8" width="11.140625" bestFit="1" customWidth="1"/>
    <col min="11" max="11" width="14" bestFit="1" customWidth="1"/>
    <col min="13" max="13" width="11.140625" bestFit="1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1"/>
      <c r="O1" s="1"/>
    </row>
    <row r="2" spans="1:1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76</v>
      </c>
      <c r="G2" s="1">
        <v>309</v>
      </c>
      <c r="H2" s="1" t="s">
        <v>18</v>
      </c>
      <c r="I2" s="3">
        <v>46319</v>
      </c>
      <c r="J2" s="1">
        <v>0.8</v>
      </c>
      <c r="K2" s="1" t="s">
        <v>19</v>
      </c>
      <c r="L2" s="1" t="s">
        <v>20</v>
      </c>
      <c r="M2" s="1" t="s">
        <v>21</v>
      </c>
      <c r="N2" s="1">
        <v>9.35</v>
      </c>
      <c r="O2" s="1" t="s">
        <v>22</v>
      </c>
    </row>
    <row r="3" spans="1:1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2">
        <v>74</v>
      </c>
      <c r="G3" s="1">
        <v>108</v>
      </c>
      <c r="H3" s="1" t="s">
        <v>18</v>
      </c>
      <c r="I3" s="3">
        <v>46228</v>
      </c>
      <c r="J3" s="1">
        <v>0.4</v>
      </c>
      <c r="K3" s="1" t="s">
        <v>19</v>
      </c>
      <c r="L3" s="1" t="s">
        <v>20</v>
      </c>
      <c r="M3" s="1" t="s">
        <v>21</v>
      </c>
      <c r="N3" s="1">
        <v>1.54</v>
      </c>
      <c r="O3" s="1" t="s">
        <v>28</v>
      </c>
    </row>
    <row r="4" spans="1:15">
      <c r="A4" s="1" t="s">
        <v>29</v>
      </c>
      <c r="B4" s="1" t="s">
        <v>30</v>
      </c>
      <c r="C4" s="1" t="e" cm="1">
        <f t="array" ref="C4">_xlfn._xlws.FILTER(Sheet1!A2:O201,Sheet1!B2:B201)</f>
        <v>#VALUE!</v>
      </c>
      <c r="D4" s="1" t="s">
        <v>16</v>
      </c>
      <c r="E4" s="1" t="s">
        <v>31</v>
      </c>
      <c r="F4" s="2">
        <v>83</v>
      </c>
      <c r="G4" s="1">
        <v>238</v>
      </c>
      <c r="H4" s="1" t="s">
        <v>18</v>
      </c>
      <c r="I4" s="3">
        <v>46161</v>
      </c>
      <c r="J4" s="1">
        <v>0.4</v>
      </c>
      <c r="K4" s="1" t="s">
        <v>32</v>
      </c>
      <c r="L4" s="1" t="s">
        <v>33</v>
      </c>
      <c r="M4" s="1">
        <v>3.85</v>
      </c>
      <c r="N4" s="1" t="s">
        <v>34</v>
      </c>
      <c r="O4" s="1"/>
    </row>
    <row r="5" spans="1:15">
      <c r="A5" s="1" t="s">
        <v>35</v>
      </c>
      <c r="B5" s="1" t="s">
        <v>36</v>
      </c>
      <c r="C5" s="1" t="s">
        <v>37</v>
      </c>
      <c r="D5" s="1" t="s">
        <v>26</v>
      </c>
      <c r="E5" s="1" t="s">
        <v>27</v>
      </c>
      <c r="F5" s="2">
        <v>34</v>
      </c>
      <c r="G5" s="1">
        <v>792</v>
      </c>
      <c r="H5" s="1" t="s">
        <v>38</v>
      </c>
      <c r="I5" s="3">
        <v>46250</v>
      </c>
      <c r="J5" s="1">
        <v>0.7</v>
      </c>
      <c r="K5" s="1" t="s">
        <v>22</v>
      </c>
      <c r="L5" s="1" t="s">
        <v>39</v>
      </c>
      <c r="M5" s="1" t="s">
        <v>40</v>
      </c>
      <c r="N5" s="1">
        <v>2.15</v>
      </c>
      <c r="O5" s="1" t="s">
        <v>34</v>
      </c>
    </row>
    <row r="6" spans="1:15">
      <c r="A6" s="1" t="s">
        <v>41</v>
      </c>
      <c r="B6" s="1" t="s">
        <v>42</v>
      </c>
      <c r="C6" s="1" t="s">
        <v>43</v>
      </c>
      <c r="D6" s="1" t="s">
        <v>26</v>
      </c>
      <c r="E6" s="1" t="s">
        <v>44</v>
      </c>
      <c r="F6" s="2">
        <v>156</v>
      </c>
      <c r="G6" s="1">
        <v>732</v>
      </c>
      <c r="H6" s="1" t="s">
        <v>45</v>
      </c>
      <c r="I6" s="3">
        <v>46126</v>
      </c>
      <c r="J6" s="1">
        <v>0.6</v>
      </c>
      <c r="K6" s="1" t="s">
        <v>19</v>
      </c>
      <c r="L6" s="1" t="s">
        <v>46</v>
      </c>
      <c r="M6" s="1" t="s">
        <v>40</v>
      </c>
      <c r="N6" s="1">
        <v>8.19</v>
      </c>
      <c r="O6" s="1" t="s">
        <v>47</v>
      </c>
    </row>
    <row r="7" spans="1:15">
      <c r="A7" s="1" t="s">
        <v>48</v>
      </c>
      <c r="B7" s="1" t="s">
        <v>49</v>
      </c>
      <c r="C7" s="1" t="s">
        <v>50</v>
      </c>
      <c r="D7" s="1" t="s">
        <v>26</v>
      </c>
      <c r="E7" s="1" t="s">
        <v>51</v>
      </c>
      <c r="F7" s="2">
        <v>143</v>
      </c>
      <c r="G7" s="1">
        <v>894</v>
      </c>
      <c r="H7" s="1" t="s">
        <v>45</v>
      </c>
      <c r="I7" s="3">
        <v>46094</v>
      </c>
      <c r="J7" s="1">
        <v>0.4</v>
      </c>
      <c r="K7" s="1" t="s">
        <v>19</v>
      </c>
      <c r="L7" s="1" t="s">
        <v>20</v>
      </c>
      <c r="M7" s="1" t="s">
        <v>21</v>
      </c>
      <c r="N7" s="1">
        <v>1.1100000000000001</v>
      </c>
      <c r="O7" s="1" t="s">
        <v>22</v>
      </c>
    </row>
    <row r="8" spans="1:15">
      <c r="A8" s="1" t="s">
        <v>52</v>
      </c>
      <c r="B8" s="1" t="s">
        <v>53</v>
      </c>
      <c r="C8" s="1" t="s">
        <v>54</v>
      </c>
      <c r="D8" s="1" t="s">
        <v>26</v>
      </c>
      <c r="E8" s="1" t="s">
        <v>55</v>
      </c>
      <c r="F8" s="2">
        <v>54</v>
      </c>
      <c r="G8" s="1">
        <v>501</v>
      </c>
      <c r="H8" s="1" t="s">
        <v>18</v>
      </c>
      <c r="I8" s="3">
        <v>46075</v>
      </c>
      <c r="J8" s="1">
        <v>0.9</v>
      </c>
      <c r="K8" s="1" t="s">
        <v>22</v>
      </c>
      <c r="L8" s="1" t="s">
        <v>56</v>
      </c>
      <c r="M8" s="1" t="s">
        <v>57</v>
      </c>
      <c r="N8" s="1">
        <v>4.46</v>
      </c>
      <c r="O8" s="1" t="s">
        <v>28</v>
      </c>
    </row>
    <row r="9" spans="1:15">
      <c r="A9" s="1" t="s">
        <v>58</v>
      </c>
      <c r="B9" s="1" t="s">
        <v>59</v>
      </c>
      <c r="C9" s="1" t="e">
        <f>VLOOKUP(C6,Sheet1!A2:O201,Sheet1!B2)</f>
        <v>#N/A</v>
      </c>
      <c r="D9" s="1" t="s">
        <v>16</v>
      </c>
      <c r="E9" s="1" t="s">
        <v>60</v>
      </c>
      <c r="F9" s="2">
        <v>64</v>
      </c>
      <c r="G9" s="1">
        <v>899</v>
      </c>
      <c r="H9" s="1" t="s">
        <v>18</v>
      </c>
      <c r="I9" s="3">
        <v>46053</v>
      </c>
      <c r="J9" s="1">
        <v>0.4</v>
      </c>
      <c r="K9" s="1" t="s">
        <v>19</v>
      </c>
      <c r="L9" s="1" t="s">
        <v>61</v>
      </c>
      <c r="M9" s="1" t="s">
        <v>62</v>
      </c>
      <c r="N9" s="1">
        <v>1.43</v>
      </c>
      <c r="O9" s="1" t="s">
        <v>22</v>
      </c>
    </row>
    <row r="10" spans="1:15">
      <c r="A10" s="1" t="s">
        <v>63</v>
      </c>
      <c r="B10" s="1" t="s">
        <v>64</v>
      </c>
      <c r="C10" s="1" t="s">
        <v>65</v>
      </c>
      <c r="D10" s="1" t="s">
        <v>16</v>
      </c>
      <c r="E10" s="1" t="s">
        <v>44</v>
      </c>
      <c r="F10" s="2">
        <v>70</v>
      </c>
      <c r="G10" s="1">
        <v>476</v>
      </c>
      <c r="H10" s="1" t="s">
        <v>18</v>
      </c>
      <c r="I10" s="3">
        <v>46383</v>
      </c>
      <c r="J10" s="1">
        <v>0.6</v>
      </c>
      <c r="K10" s="1" t="s">
        <v>22</v>
      </c>
      <c r="L10" s="1" t="s">
        <v>46</v>
      </c>
      <c r="M10" s="1" t="s">
        <v>40</v>
      </c>
      <c r="N10" s="1">
        <v>7.67</v>
      </c>
      <c r="O10" s="1" t="s">
        <v>47</v>
      </c>
    </row>
    <row r="11" spans="1:15">
      <c r="A11" s="1" t="s">
        <v>66</v>
      </c>
      <c r="B11" s="1" t="s">
        <v>67</v>
      </c>
      <c r="C11" s="1" t="s">
        <v>68</v>
      </c>
      <c r="D11" s="1" t="s">
        <v>16</v>
      </c>
      <c r="E11" s="1" t="s">
        <v>69</v>
      </c>
      <c r="F11" s="2">
        <v>107</v>
      </c>
      <c r="G11" s="1">
        <v>996</v>
      </c>
      <c r="H11" s="1" t="s">
        <v>45</v>
      </c>
      <c r="I11" s="3">
        <v>46055</v>
      </c>
      <c r="J11" s="1">
        <v>0.8</v>
      </c>
      <c r="K11" s="1" t="s">
        <v>22</v>
      </c>
      <c r="L11" s="1" t="s">
        <v>70</v>
      </c>
      <c r="M11" s="1" t="s">
        <v>71</v>
      </c>
      <c r="N11" s="1">
        <v>6.43</v>
      </c>
      <c r="O11" s="1" t="s">
        <v>28</v>
      </c>
    </row>
    <row r="12" spans="1:15">
      <c r="A12" s="1" t="s">
        <v>72</v>
      </c>
      <c r="B12" s="1" t="s">
        <v>73</v>
      </c>
      <c r="C12" s="1" t="s">
        <v>74</v>
      </c>
      <c r="D12" s="1" t="s">
        <v>26</v>
      </c>
      <c r="E12" s="1" t="s">
        <v>75</v>
      </c>
      <c r="F12" s="2">
        <v>136</v>
      </c>
      <c r="G12" s="1">
        <v>213</v>
      </c>
      <c r="H12" s="1" t="s">
        <v>45</v>
      </c>
      <c r="I12" s="3">
        <v>46332</v>
      </c>
      <c r="J12" s="1">
        <v>0.7</v>
      </c>
      <c r="K12" s="1" t="s">
        <v>19</v>
      </c>
      <c r="L12" s="1" t="s">
        <v>76</v>
      </c>
      <c r="M12" s="1" t="s">
        <v>77</v>
      </c>
      <c r="N12" s="1">
        <v>7.74</v>
      </c>
      <c r="O12" s="1" t="s">
        <v>28</v>
      </c>
    </row>
    <row r="13" spans="1:15">
      <c r="A13" s="1" t="s">
        <v>78</v>
      </c>
      <c r="B13" s="1" t="s">
        <v>79</v>
      </c>
      <c r="C13" s="1" t="s">
        <v>80</v>
      </c>
      <c r="D13" s="1" t="s">
        <v>16</v>
      </c>
      <c r="E13" s="1" t="s">
        <v>75</v>
      </c>
      <c r="F13" s="2">
        <v>164</v>
      </c>
      <c r="G13" s="1">
        <v>32</v>
      </c>
      <c r="H13" s="1" t="s">
        <v>45</v>
      </c>
      <c r="I13" s="3">
        <v>46366</v>
      </c>
      <c r="J13" s="1">
        <v>0.4</v>
      </c>
      <c r="K13" s="1" t="s">
        <v>32</v>
      </c>
      <c r="L13" s="1" t="s">
        <v>33</v>
      </c>
      <c r="M13" s="1">
        <v>5.6</v>
      </c>
      <c r="N13" s="1" t="s">
        <v>28</v>
      </c>
      <c r="O13" s="1"/>
    </row>
    <row r="14" spans="1:15">
      <c r="A14" s="1" t="s">
        <v>81</v>
      </c>
      <c r="B14" s="1" t="s">
        <v>24</v>
      </c>
      <c r="C14" s="1" t="s">
        <v>82</v>
      </c>
      <c r="D14" s="1" t="s">
        <v>26</v>
      </c>
      <c r="E14" s="1" t="s">
        <v>83</v>
      </c>
      <c r="F14" s="2">
        <v>64</v>
      </c>
      <c r="G14" s="1">
        <v>987</v>
      </c>
      <c r="H14" s="1" t="s">
        <v>18</v>
      </c>
      <c r="I14" s="3">
        <v>46070</v>
      </c>
      <c r="J14" s="1">
        <v>0.4</v>
      </c>
      <c r="K14" s="1" t="s">
        <v>32</v>
      </c>
      <c r="L14" s="1" t="s">
        <v>84</v>
      </c>
      <c r="M14" s="1">
        <v>9.2899999999999991</v>
      </c>
      <c r="N14" s="1" t="s">
        <v>34</v>
      </c>
      <c r="O14" s="1"/>
    </row>
    <row r="15" spans="1:15">
      <c r="A15" s="1" t="s">
        <v>85</v>
      </c>
      <c r="B15" s="1" t="s">
        <v>86</v>
      </c>
      <c r="C15" s="1" t="s">
        <v>87</v>
      </c>
      <c r="D15" s="1" t="s">
        <v>16</v>
      </c>
      <c r="E15" s="1" t="s">
        <v>51</v>
      </c>
      <c r="F15" s="2">
        <v>73</v>
      </c>
      <c r="G15" s="1">
        <v>276</v>
      </c>
      <c r="H15" s="1" t="s">
        <v>18</v>
      </c>
      <c r="I15" s="3">
        <v>46264</v>
      </c>
      <c r="J15" s="1">
        <v>0.6</v>
      </c>
      <c r="K15" s="1" t="s">
        <v>22</v>
      </c>
      <c r="L15" s="1" t="s">
        <v>88</v>
      </c>
      <c r="M15" s="1" t="s">
        <v>89</v>
      </c>
      <c r="N15" s="1">
        <v>7.77</v>
      </c>
      <c r="O15" s="1" t="s">
        <v>28</v>
      </c>
    </row>
    <row r="16" spans="1:15">
      <c r="A16" s="1" t="s">
        <v>90</v>
      </c>
      <c r="B16" s="1" t="s">
        <v>30</v>
      </c>
      <c r="C16" s="1" t="s">
        <v>91</v>
      </c>
      <c r="D16" s="1" t="s">
        <v>16</v>
      </c>
      <c r="E16" s="1" t="s">
        <v>92</v>
      </c>
      <c r="F16" s="2">
        <v>128</v>
      </c>
      <c r="G16" s="1">
        <v>485</v>
      </c>
      <c r="H16" s="1" t="s">
        <v>45</v>
      </c>
      <c r="I16" s="3">
        <v>46030</v>
      </c>
      <c r="J16" s="1">
        <v>0.9</v>
      </c>
      <c r="K16" s="1" t="s">
        <v>19</v>
      </c>
      <c r="L16" s="1" t="s">
        <v>76</v>
      </c>
      <c r="M16" s="1" t="s">
        <v>77</v>
      </c>
      <c r="N16" s="1">
        <v>0.64</v>
      </c>
      <c r="O16" s="1" t="s">
        <v>47</v>
      </c>
    </row>
    <row r="17" spans="1:15">
      <c r="A17" s="1" t="s">
        <v>93</v>
      </c>
      <c r="B17" s="1" t="s">
        <v>94</v>
      </c>
      <c r="C17" s="1" t="s">
        <v>95</v>
      </c>
      <c r="D17" s="1" t="s">
        <v>16</v>
      </c>
      <c r="E17" s="1" t="s">
        <v>83</v>
      </c>
      <c r="F17" s="2">
        <v>64</v>
      </c>
      <c r="G17" s="1">
        <v>772</v>
      </c>
      <c r="H17" s="1" t="s">
        <v>18</v>
      </c>
      <c r="I17" s="3">
        <v>46151</v>
      </c>
      <c r="J17" s="1">
        <v>0.9</v>
      </c>
      <c r="K17" s="1" t="s">
        <v>22</v>
      </c>
      <c r="L17" s="1" t="s">
        <v>88</v>
      </c>
      <c r="M17" s="1" t="s">
        <v>89</v>
      </c>
      <c r="N17" s="1">
        <v>5.26</v>
      </c>
      <c r="O17" s="1" t="s">
        <v>47</v>
      </c>
    </row>
    <row r="18" spans="1:15">
      <c r="A18" s="1" t="s">
        <v>96</v>
      </c>
      <c r="B18" s="1" t="s">
        <v>97</v>
      </c>
      <c r="C18" s="1" t="s">
        <v>98</v>
      </c>
      <c r="D18" s="1" t="s">
        <v>16</v>
      </c>
      <c r="E18" s="1" t="s">
        <v>60</v>
      </c>
      <c r="F18" s="2">
        <v>119</v>
      </c>
      <c r="G18" s="1">
        <v>389</v>
      </c>
      <c r="H18" s="1" t="s">
        <v>45</v>
      </c>
      <c r="I18" s="3">
        <v>46108</v>
      </c>
      <c r="J18" s="1">
        <v>0.6</v>
      </c>
      <c r="K18" s="1" t="s">
        <v>19</v>
      </c>
      <c r="L18" s="1" t="s">
        <v>33</v>
      </c>
      <c r="M18" s="1">
        <v>1.32</v>
      </c>
      <c r="N18" s="1" t="s">
        <v>34</v>
      </c>
      <c r="O18" s="1"/>
    </row>
    <row r="19" spans="1:15">
      <c r="A19" s="1" t="s">
        <v>99</v>
      </c>
      <c r="B19" s="1" t="s">
        <v>100</v>
      </c>
      <c r="C19" s="1" t="s">
        <v>82</v>
      </c>
      <c r="D19" s="1" t="s">
        <v>26</v>
      </c>
      <c r="E19" s="1" t="s">
        <v>101</v>
      </c>
      <c r="F19" s="2">
        <v>105</v>
      </c>
      <c r="G19" s="1">
        <v>544</v>
      </c>
      <c r="H19" s="1" t="s">
        <v>45</v>
      </c>
      <c r="I19" s="3">
        <v>46371</v>
      </c>
      <c r="J19" s="1">
        <v>0.9</v>
      </c>
      <c r="K19" s="1" t="s">
        <v>19</v>
      </c>
      <c r="L19" s="1" t="s">
        <v>70</v>
      </c>
      <c r="M19" s="1" t="s">
        <v>71</v>
      </c>
      <c r="N19" s="1">
        <v>7.01</v>
      </c>
      <c r="O19" s="1" t="s">
        <v>34</v>
      </c>
    </row>
    <row r="20" spans="1:15">
      <c r="A20" s="1" t="s">
        <v>102</v>
      </c>
      <c r="B20" s="1" t="s">
        <v>103</v>
      </c>
      <c r="C20" s="1" t="s">
        <v>104</v>
      </c>
      <c r="D20" s="1" t="s">
        <v>16</v>
      </c>
      <c r="E20" s="1" t="s">
        <v>105</v>
      </c>
      <c r="F20" s="2">
        <v>50</v>
      </c>
      <c r="G20" s="1">
        <v>675</v>
      </c>
      <c r="H20" s="1" t="s">
        <v>18</v>
      </c>
      <c r="I20" s="3">
        <v>46141</v>
      </c>
      <c r="J20" s="1">
        <v>0.9</v>
      </c>
      <c r="K20" s="1" t="s">
        <v>22</v>
      </c>
      <c r="L20" s="1" t="s">
        <v>106</v>
      </c>
      <c r="M20" s="1" t="s">
        <v>71</v>
      </c>
      <c r="N20" s="1">
        <v>3.38</v>
      </c>
      <c r="O20" s="1" t="s">
        <v>22</v>
      </c>
    </row>
    <row r="21" spans="1:15">
      <c r="A21" s="1" t="s">
        <v>107</v>
      </c>
      <c r="B21" s="1" t="s">
        <v>108</v>
      </c>
      <c r="C21" s="1" t="s">
        <v>109</v>
      </c>
      <c r="D21" s="1" t="s">
        <v>26</v>
      </c>
      <c r="E21" s="1" t="s">
        <v>110</v>
      </c>
      <c r="F21" s="2">
        <v>179</v>
      </c>
      <c r="G21" s="1">
        <v>673</v>
      </c>
      <c r="H21" s="1" t="s">
        <v>45</v>
      </c>
      <c r="I21" s="3">
        <v>46054</v>
      </c>
      <c r="J21" s="1">
        <v>0.4</v>
      </c>
      <c r="K21" s="1" t="s">
        <v>32</v>
      </c>
      <c r="L21" s="1" t="s">
        <v>76</v>
      </c>
      <c r="M21" s="1" t="s">
        <v>77</v>
      </c>
      <c r="N21" s="1">
        <v>9.86</v>
      </c>
      <c r="O21" s="1" t="s">
        <v>47</v>
      </c>
    </row>
    <row r="22" spans="1:15">
      <c r="A22" s="1" t="s">
        <v>111</v>
      </c>
      <c r="B22" s="1" t="s">
        <v>112</v>
      </c>
      <c r="C22" s="1" t="s">
        <v>113</v>
      </c>
      <c r="D22" s="1" t="s">
        <v>16</v>
      </c>
      <c r="E22" s="1" t="s">
        <v>83</v>
      </c>
      <c r="F22" s="2">
        <v>99</v>
      </c>
      <c r="G22" s="1">
        <v>185</v>
      </c>
      <c r="H22" s="1" t="s">
        <v>18</v>
      </c>
      <c r="I22" s="3">
        <v>46061</v>
      </c>
      <c r="J22" s="1">
        <v>0.3</v>
      </c>
      <c r="K22" s="1" t="s">
        <v>19</v>
      </c>
      <c r="L22" s="1" t="s">
        <v>33</v>
      </c>
      <c r="M22" s="1">
        <v>3.26</v>
      </c>
      <c r="N22" s="1" t="s">
        <v>34</v>
      </c>
      <c r="O22" s="1"/>
    </row>
    <row r="23" spans="1:15">
      <c r="A23" s="1" t="s">
        <v>114</v>
      </c>
      <c r="B23" s="1" t="s">
        <v>115</v>
      </c>
      <c r="C23" s="1" t="s">
        <v>116</v>
      </c>
      <c r="D23" s="1" t="s">
        <v>26</v>
      </c>
      <c r="E23" s="1" t="s">
        <v>17</v>
      </c>
      <c r="F23" s="2">
        <v>69</v>
      </c>
      <c r="G23" s="1">
        <v>361</v>
      </c>
      <c r="H23" s="1" t="s">
        <v>18</v>
      </c>
      <c r="I23" s="3">
        <v>46076</v>
      </c>
      <c r="J23" s="1">
        <v>0.6</v>
      </c>
      <c r="K23" s="1" t="s">
        <v>32</v>
      </c>
      <c r="L23" s="1" t="s">
        <v>117</v>
      </c>
      <c r="M23" s="1" t="s">
        <v>118</v>
      </c>
      <c r="N23" s="1">
        <v>6.48</v>
      </c>
      <c r="O23" s="1" t="s">
        <v>28</v>
      </c>
    </row>
    <row r="24" spans="1:15">
      <c r="A24" s="1" t="s">
        <v>119</v>
      </c>
      <c r="B24" s="1" t="s">
        <v>120</v>
      </c>
      <c r="C24" s="1" t="s">
        <v>121</v>
      </c>
      <c r="D24" s="1" t="s">
        <v>16</v>
      </c>
      <c r="E24" s="1" t="s">
        <v>27</v>
      </c>
      <c r="F24" s="2">
        <v>118</v>
      </c>
      <c r="G24" s="1">
        <v>728</v>
      </c>
      <c r="H24" s="1" t="s">
        <v>45</v>
      </c>
      <c r="I24" s="3">
        <v>46049</v>
      </c>
      <c r="J24" s="1">
        <v>0.6</v>
      </c>
      <c r="K24" s="1" t="s">
        <v>22</v>
      </c>
      <c r="L24" s="1" t="s">
        <v>117</v>
      </c>
      <c r="M24" s="1" t="s">
        <v>118</v>
      </c>
      <c r="N24" s="1">
        <v>5.71</v>
      </c>
      <c r="O24" s="1" t="s">
        <v>28</v>
      </c>
    </row>
    <row r="25" spans="1:15">
      <c r="A25" s="1" t="s">
        <v>122</v>
      </c>
      <c r="B25" s="1" t="s">
        <v>123</v>
      </c>
      <c r="C25" s="1" t="s">
        <v>124</v>
      </c>
      <c r="D25" s="1" t="s">
        <v>16</v>
      </c>
      <c r="E25" s="1" t="s">
        <v>83</v>
      </c>
      <c r="F25" s="2">
        <v>35</v>
      </c>
      <c r="G25" s="1">
        <v>358</v>
      </c>
      <c r="H25" s="1" t="s">
        <v>38</v>
      </c>
      <c r="I25" s="3">
        <v>46101</v>
      </c>
      <c r="J25" s="1">
        <v>0.4</v>
      </c>
      <c r="K25" s="1" t="s">
        <v>32</v>
      </c>
      <c r="L25" s="1" t="s">
        <v>46</v>
      </c>
      <c r="M25" s="1" t="s">
        <v>40</v>
      </c>
      <c r="N25" s="1">
        <v>6.37</v>
      </c>
      <c r="O25" s="1" t="s">
        <v>47</v>
      </c>
    </row>
    <row r="26" spans="1:15">
      <c r="A26" s="1" t="s">
        <v>125</v>
      </c>
      <c r="B26" s="1" t="s">
        <v>126</v>
      </c>
      <c r="C26" s="1" t="s">
        <v>127</v>
      </c>
      <c r="D26" s="1" t="s">
        <v>26</v>
      </c>
      <c r="E26" s="1" t="s">
        <v>27</v>
      </c>
      <c r="F26" s="2">
        <v>148</v>
      </c>
      <c r="G26" s="1">
        <v>806</v>
      </c>
      <c r="H26" s="1" t="s">
        <v>45</v>
      </c>
      <c r="I26" s="3">
        <v>46091</v>
      </c>
      <c r="J26" s="1">
        <v>0.4</v>
      </c>
      <c r="K26" s="1" t="s">
        <v>22</v>
      </c>
      <c r="L26" s="1" t="s">
        <v>128</v>
      </c>
      <c r="M26" s="1" t="s">
        <v>40</v>
      </c>
      <c r="N26" s="1">
        <v>2.0499999999999998</v>
      </c>
      <c r="O26" s="1" t="s">
        <v>34</v>
      </c>
    </row>
    <row r="27" spans="1:15">
      <c r="A27" s="1" t="s">
        <v>129</v>
      </c>
      <c r="B27" s="1" t="s">
        <v>130</v>
      </c>
      <c r="C27" s="1" t="s">
        <v>95</v>
      </c>
      <c r="D27" s="1" t="s">
        <v>26</v>
      </c>
      <c r="E27" s="1" t="s">
        <v>31</v>
      </c>
      <c r="F27" s="2">
        <v>170</v>
      </c>
      <c r="G27" s="1">
        <v>775</v>
      </c>
      <c r="H27" s="1" t="s">
        <v>45</v>
      </c>
      <c r="I27" s="3">
        <v>46167</v>
      </c>
      <c r="J27" s="1">
        <v>0.4</v>
      </c>
      <c r="K27" s="1" t="s">
        <v>19</v>
      </c>
      <c r="L27" s="1" t="s">
        <v>131</v>
      </c>
      <c r="M27" s="1" t="s">
        <v>132</v>
      </c>
      <c r="N27" s="1">
        <v>2.97</v>
      </c>
      <c r="O27" s="1" t="s">
        <v>28</v>
      </c>
    </row>
    <row r="28" spans="1:15">
      <c r="A28" s="1" t="s">
        <v>133</v>
      </c>
      <c r="B28" s="1" t="s">
        <v>134</v>
      </c>
      <c r="C28" s="1" t="s">
        <v>135</v>
      </c>
      <c r="D28" s="1" t="s">
        <v>26</v>
      </c>
      <c r="E28" s="1" t="s">
        <v>75</v>
      </c>
      <c r="F28" s="2">
        <v>104</v>
      </c>
      <c r="G28" s="1">
        <v>718</v>
      </c>
      <c r="H28" s="1" t="s">
        <v>45</v>
      </c>
      <c r="I28" s="3">
        <v>46108</v>
      </c>
      <c r="J28" s="1">
        <v>0.4</v>
      </c>
      <c r="K28" s="1" t="s">
        <v>32</v>
      </c>
      <c r="L28" s="1" t="s">
        <v>56</v>
      </c>
      <c r="M28" s="1" t="s">
        <v>57</v>
      </c>
      <c r="N28" s="1">
        <v>8.49</v>
      </c>
      <c r="O28" s="1" t="s">
        <v>28</v>
      </c>
    </row>
    <row r="29" spans="1:15">
      <c r="A29" s="1" t="s">
        <v>136</v>
      </c>
      <c r="B29" s="1" t="s">
        <v>137</v>
      </c>
      <c r="C29" s="1" t="s">
        <v>138</v>
      </c>
      <c r="D29" s="1" t="s">
        <v>26</v>
      </c>
      <c r="E29" s="1" t="s">
        <v>31</v>
      </c>
      <c r="F29" s="2">
        <v>29</v>
      </c>
      <c r="G29" s="1">
        <v>517</v>
      </c>
      <c r="H29" s="1" t="s">
        <v>38</v>
      </c>
      <c r="I29" s="3">
        <v>46181</v>
      </c>
      <c r="J29" s="1">
        <v>0.6</v>
      </c>
      <c r="K29" s="1" t="s">
        <v>19</v>
      </c>
      <c r="L29" s="1" t="s">
        <v>131</v>
      </c>
      <c r="M29" s="1" t="s">
        <v>132</v>
      </c>
      <c r="N29" s="1">
        <v>8.77</v>
      </c>
      <c r="O29" s="1" t="s">
        <v>47</v>
      </c>
    </row>
    <row r="30" spans="1:15">
      <c r="A30" s="1" t="s">
        <v>139</v>
      </c>
      <c r="B30" s="1" t="s">
        <v>137</v>
      </c>
      <c r="C30" s="1" t="s">
        <v>82</v>
      </c>
      <c r="D30" s="1" t="s">
        <v>26</v>
      </c>
      <c r="E30" s="1" t="s">
        <v>75</v>
      </c>
      <c r="F30" s="2">
        <v>46</v>
      </c>
      <c r="G30" s="1">
        <v>64</v>
      </c>
      <c r="H30" s="1" t="s">
        <v>38</v>
      </c>
      <c r="I30" s="3">
        <v>46200</v>
      </c>
      <c r="J30" s="1">
        <v>0.3</v>
      </c>
      <c r="K30" s="1" t="s">
        <v>19</v>
      </c>
      <c r="L30" s="1" t="s">
        <v>117</v>
      </c>
      <c r="M30" s="1" t="s">
        <v>118</v>
      </c>
      <c r="N30" s="1">
        <v>6.71</v>
      </c>
      <c r="O30" s="1" t="s">
        <v>22</v>
      </c>
    </row>
    <row r="31" spans="1:15">
      <c r="A31" s="1" t="s">
        <v>140</v>
      </c>
      <c r="B31" s="1" t="s">
        <v>141</v>
      </c>
      <c r="C31" s="1" t="s">
        <v>138</v>
      </c>
      <c r="D31" s="1" t="s">
        <v>16</v>
      </c>
      <c r="E31" s="1" t="s">
        <v>142</v>
      </c>
      <c r="F31" s="2">
        <v>155</v>
      </c>
      <c r="G31" s="1">
        <v>265</v>
      </c>
      <c r="H31" s="1" t="s">
        <v>45</v>
      </c>
      <c r="I31" s="3">
        <v>46090</v>
      </c>
      <c r="J31" s="1">
        <v>0.6</v>
      </c>
      <c r="K31" s="1" t="s">
        <v>22</v>
      </c>
      <c r="L31" s="1" t="s">
        <v>56</v>
      </c>
      <c r="M31" s="1" t="s">
        <v>57</v>
      </c>
      <c r="N31" s="1">
        <v>6.13</v>
      </c>
      <c r="O31" s="1" t="s">
        <v>22</v>
      </c>
    </row>
    <row r="32" spans="1:15">
      <c r="A32" s="1" t="s">
        <v>143</v>
      </c>
      <c r="B32" s="1" t="s">
        <v>97</v>
      </c>
      <c r="C32" s="1" t="s">
        <v>144</v>
      </c>
      <c r="D32" s="1" t="s">
        <v>16</v>
      </c>
      <c r="E32" s="1" t="s">
        <v>27</v>
      </c>
      <c r="F32" s="2">
        <v>112</v>
      </c>
      <c r="G32" s="1">
        <v>393</v>
      </c>
      <c r="H32" s="1" t="s">
        <v>45</v>
      </c>
      <c r="I32" s="3">
        <v>46266</v>
      </c>
      <c r="J32" s="1">
        <v>0.9</v>
      </c>
      <c r="K32" s="1" t="s">
        <v>22</v>
      </c>
      <c r="L32" s="1" t="s">
        <v>39</v>
      </c>
      <c r="M32" s="1" t="s">
        <v>40</v>
      </c>
      <c r="N32" s="1">
        <v>2.59</v>
      </c>
      <c r="O32" s="1" t="s">
        <v>34</v>
      </c>
    </row>
    <row r="33" spans="1:15">
      <c r="A33" s="1" t="s">
        <v>145</v>
      </c>
      <c r="B33" s="1" t="s">
        <v>115</v>
      </c>
      <c r="C33" s="1" t="s">
        <v>146</v>
      </c>
      <c r="D33" s="1" t="s">
        <v>16</v>
      </c>
      <c r="E33" s="1" t="s">
        <v>110</v>
      </c>
      <c r="F33" s="2">
        <v>36</v>
      </c>
      <c r="G33" s="1">
        <v>809</v>
      </c>
      <c r="H33" s="1" t="s">
        <v>38</v>
      </c>
      <c r="I33" s="3">
        <v>46103</v>
      </c>
      <c r="J33" s="1">
        <v>0.4</v>
      </c>
      <c r="K33" s="1" t="s">
        <v>19</v>
      </c>
      <c r="L33" s="1" t="s">
        <v>147</v>
      </c>
      <c r="M33" s="1" t="s">
        <v>148</v>
      </c>
      <c r="N33" s="1">
        <v>0.87</v>
      </c>
      <c r="O33" s="1" t="s">
        <v>28</v>
      </c>
    </row>
    <row r="34" spans="1:15">
      <c r="A34" s="1" t="s">
        <v>149</v>
      </c>
      <c r="B34" s="1" t="s">
        <v>150</v>
      </c>
      <c r="C34" s="1" t="s">
        <v>104</v>
      </c>
      <c r="D34" s="1" t="s">
        <v>26</v>
      </c>
      <c r="E34" s="1" t="s">
        <v>69</v>
      </c>
      <c r="F34" s="2">
        <v>94</v>
      </c>
      <c r="G34" s="1">
        <v>379</v>
      </c>
      <c r="H34" s="1" t="s">
        <v>18</v>
      </c>
      <c r="I34" s="3">
        <v>46023</v>
      </c>
      <c r="J34" s="1">
        <v>0.6</v>
      </c>
      <c r="K34" s="1" t="s">
        <v>22</v>
      </c>
      <c r="L34" s="1" t="s">
        <v>20</v>
      </c>
      <c r="M34" s="1" t="s">
        <v>21</v>
      </c>
      <c r="N34" s="1">
        <v>4.12</v>
      </c>
      <c r="O34" s="1" t="s">
        <v>22</v>
      </c>
    </row>
    <row r="35" spans="1:15">
      <c r="A35" s="1" t="s">
        <v>151</v>
      </c>
      <c r="B35" s="1" t="s">
        <v>152</v>
      </c>
      <c r="C35" s="1" t="s">
        <v>91</v>
      </c>
      <c r="D35" s="1" t="s">
        <v>16</v>
      </c>
      <c r="E35" s="1" t="s">
        <v>105</v>
      </c>
      <c r="F35" s="2">
        <v>46</v>
      </c>
      <c r="G35" s="1">
        <v>584</v>
      </c>
      <c r="H35" s="1" t="s">
        <v>38</v>
      </c>
      <c r="I35" s="3">
        <v>46286</v>
      </c>
      <c r="J35" s="1">
        <v>0.4</v>
      </c>
      <c r="K35" s="1" t="s">
        <v>32</v>
      </c>
      <c r="L35" s="1" t="s">
        <v>88</v>
      </c>
      <c r="M35" s="1" t="s">
        <v>89</v>
      </c>
      <c r="N35" s="1">
        <v>3.93</v>
      </c>
      <c r="O35" s="1" t="s">
        <v>22</v>
      </c>
    </row>
    <row r="36" spans="1:15">
      <c r="A36" s="1" t="s">
        <v>153</v>
      </c>
      <c r="B36" s="1" t="s">
        <v>154</v>
      </c>
      <c r="C36" s="1" t="s">
        <v>138</v>
      </c>
      <c r="D36" s="1" t="s">
        <v>26</v>
      </c>
      <c r="E36" s="1" t="s">
        <v>69</v>
      </c>
      <c r="F36" s="2">
        <v>146</v>
      </c>
      <c r="G36" s="1">
        <v>200</v>
      </c>
      <c r="H36" s="1" t="s">
        <v>45</v>
      </c>
      <c r="I36" s="3">
        <v>46234</v>
      </c>
      <c r="J36" s="1">
        <v>0.4</v>
      </c>
      <c r="K36" s="1" t="s">
        <v>22</v>
      </c>
      <c r="L36" s="1" t="s">
        <v>56</v>
      </c>
      <c r="M36" s="1" t="s">
        <v>57</v>
      </c>
      <c r="N36" s="1">
        <v>3.8</v>
      </c>
      <c r="O36" s="1" t="s">
        <v>28</v>
      </c>
    </row>
    <row r="37" spans="1:15">
      <c r="A37" s="1" t="s">
        <v>155</v>
      </c>
      <c r="B37" s="1" t="s">
        <v>152</v>
      </c>
      <c r="C37" s="1" t="s">
        <v>156</v>
      </c>
      <c r="D37" s="1" t="s">
        <v>26</v>
      </c>
      <c r="E37" s="1" t="s">
        <v>142</v>
      </c>
      <c r="F37" s="2">
        <v>45</v>
      </c>
      <c r="G37" s="1">
        <v>234</v>
      </c>
      <c r="H37" s="1" t="s">
        <v>38</v>
      </c>
      <c r="I37" s="3">
        <v>46230</v>
      </c>
      <c r="J37" s="1">
        <v>0.3</v>
      </c>
      <c r="K37" s="1" t="s">
        <v>32</v>
      </c>
      <c r="L37" s="1" t="s">
        <v>88</v>
      </c>
      <c r="M37" s="1" t="s">
        <v>89</v>
      </c>
      <c r="N37" s="1">
        <v>7.79</v>
      </c>
      <c r="O37" s="1" t="s">
        <v>22</v>
      </c>
    </row>
    <row r="38" spans="1:15">
      <c r="A38" s="1" t="s">
        <v>157</v>
      </c>
      <c r="B38" s="1" t="s">
        <v>79</v>
      </c>
      <c r="C38" s="1" t="s">
        <v>158</v>
      </c>
      <c r="D38" s="1" t="s">
        <v>26</v>
      </c>
      <c r="E38" s="1" t="s">
        <v>142</v>
      </c>
      <c r="F38" s="2">
        <v>35</v>
      </c>
      <c r="G38" s="1">
        <v>442</v>
      </c>
      <c r="H38" s="1" t="s">
        <v>38</v>
      </c>
      <c r="I38" s="3">
        <v>46223</v>
      </c>
      <c r="J38" s="1">
        <v>1</v>
      </c>
      <c r="K38" s="1" t="s">
        <v>22</v>
      </c>
      <c r="L38" s="1" t="s">
        <v>117</v>
      </c>
      <c r="M38" s="1" t="s">
        <v>118</v>
      </c>
      <c r="N38" s="1">
        <v>9.1300000000000008</v>
      </c>
      <c r="O38" s="1" t="s">
        <v>22</v>
      </c>
    </row>
    <row r="39" spans="1:15">
      <c r="A39" s="1" t="s">
        <v>159</v>
      </c>
      <c r="B39" s="1" t="s">
        <v>160</v>
      </c>
      <c r="C39" s="1" t="s">
        <v>161</v>
      </c>
      <c r="D39" s="1" t="s">
        <v>26</v>
      </c>
      <c r="E39" s="1" t="s">
        <v>101</v>
      </c>
      <c r="F39" s="2">
        <v>130</v>
      </c>
      <c r="G39" s="1">
        <v>11</v>
      </c>
      <c r="H39" s="1" t="s">
        <v>45</v>
      </c>
      <c r="I39" s="3">
        <v>46355</v>
      </c>
      <c r="J39" s="1">
        <v>0.4</v>
      </c>
      <c r="K39" s="1" t="s">
        <v>32</v>
      </c>
      <c r="L39" s="1" t="s">
        <v>33</v>
      </c>
      <c r="M39" s="1">
        <v>3.8</v>
      </c>
      <c r="N39" s="1" t="s">
        <v>22</v>
      </c>
      <c r="O39" s="1"/>
    </row>
    <row r="40" spans="1:15">
      <c r="A40" s="1" t="s">
        <v>162</v>
      </c>
      <c r="B40" s="1" t="s">
        <v>79</v>
      </c>
      <c r="C40" s="1" t="s">
        <v>163</v>
      </c>
      <c r="D40" s="1" t="s">
        <v>26</v>
      </c>
      <c r="E40" s="1" t="s">
        <v>17</v>
      </c>
      <c r="F40" s="2">
        <v>135</v>
      </c>
      <c r="G40" s="1">
        <v>959</v>
      </c>
      <c r="H40" s="1" t="s">
        <v>45</v>
      </c>
      <c r="I40" s="3">
        <v>46172</v>
      </c>
      <c r="J40" s="1">
        <v>0.9</v>
      </c>
      <c r="K40" s="1" t="s">
        <v>19</v>
      </c>
      <c r="L40" s="1" t="s">
        <v>33</v>
      </c>
      <c r="M40" s="1">
        <v>5.46</v>
      </c>
      <c r="N40" s="1" t="s">
        <v>28</v>
      </c>
      <c r="O40" s="1"/>
    </row>
    <row r="41" spans="1:15">
      <c r="A41" s="1" t="s">
        <v>164</v>
      </c>
      <c r="B41" s="1" t="s">
        <v>160</v>
      </c>
      <c r="C41" s="1" t="s">
        <v>165</v>
      </c>
      <c r="D41" s="1" t="s">
        <v>26</v>
      </c>
      <c r="E41" s="1" t="s">
        <v>110</v>
      </c>
      <c r="F41" s="2">
        <v>169</v>
      </c>
      <c r="G41" s="1">
        <v>133</v>
      </c>
      <c r="H41" s="1" t="s">
        <v>45</v>
      </c>
      <c r="I41" s="3">
        <v>46352</v>
      </c>
      <c r="J41" s="1">
        <v>0.5</v>
      </c>
      <c r="K41" s="1" t="s">
        <v>19</v>
      </c>
      <c r="L41" s="1" t="s">
        <v>33</v>
      </c>
      <c r="M41" s="1">
        <v>6.71</v>
      </c>
      <c r="N41" s="1" t="s">
        <v>22</v>
      </c>
      <c r="O41" s="1"/>
    </row>
    <row r="42" spans="1:15">
      <c r="A42" s="1" t="s">
        <v>166</v>
      </c>
      <c r="B42" s="1" t="s">
        <v>167</v>
      </c>
      <c r="C42" s="1" t="s">
        <v>168</v>
      </c>
      <c r="D42" s="1" t="s">
        <v>16</v>
      </c>
      <c r="E42" s="1" t="s">
        <v>75</v>
      </c>
      <c r="F42" s="2">
        <v>99</v>
      </c>
      <c r="G42" s="1">
        <v>278</v>
      </c>
      <c r="H42" s="1" t="s">
        <v>18</v>
      </c>
      <c r="I42" s="3">
        <v>46126</v>
      </c>
      <c r="J42" s="1">
        <v>0.7</v>
      </c>
      <c r="K42" s="1" t="s">
        <v>22</v>
      </c>
      <c r="L42" s="1" t="s">
        <v>33</v>
      </c>
      <c r="M42" s="1">
        <v>7.36</v>
      </c>
      <c r="N42" s="1" t="s">
        <v>34</v>
      </c>
      <c r="O42" s="1"/>
    </row>
    <row r="43" spans="1:15">
      <c r="A43" s="1" t="s">
        <v>169</v>
      </c>
      <c r="B43" s="1" t="s">
        <v>141</v>
      </c>
      <c r="C43" s="1" t="s">
        <v>124</v>
      </c>
      <c r="D43" s="1" t="s">
        <v>16</v>
      </c>
      <c r="E43" s="1" t="s">
        <v>105</v>
      </c>
      <c r="F43" s="2">
        <v>127</v>
      </c>
      <c r="G43" s="1">
        <v>989</v>
      </c>
      <c r="H43" s="1" t="s">
        <v>45</v>
      </c>
      <c r="I43" s="3">
        <v>46364</v>
      </c>
      <c r="J43" s="1">
        <v>0.8</v>
      </c>
      <c r="K43" s="1" t="s">
        <v>22</v>
      </c>
      <c r="L43" s="1" t="s">
        <v>56</v>
      </c>
      <c r="M43" s="1" t="s">
        <v>57</v>
      </c>
      <c r="N43" s="1">
        <v>3.6</v>
      </c>
      <c r="O43" s="1" t="s">
        <v>47</v>
      </c>
    </row>
    <row r="44" spans="1:15">
      <c r="A44" s="1" t="s">
        <v>170</v>
      </c>
      <c r="B44" s="1" t="s">
        <v>171</v>
      </c>
      <c r="C44" s="1" t="s">
        <v>172</v>
      </c>
      <c r="D44" s="1" t="s">
        <v>16</v>
      </c>
      <c r="E44" s="1" t="s">
        <v>83</v>
      </c>
      <c r="F44" s="2">
        <v>138</v>
      </c>
      <c r="G44" s="1">
        <v>984</v>
      </c>
      <c r="H44" s="1" t="s">
        <v>45</v>
      </c>
      <c r="I44" s="3">
        <v>46122</v>
      </c>
      <c r="J44" s="1">
        <v>0.9</v>
      </c>
      <c r="K44" s="1" t="s">
        <v>32</v>
      </c>
      <c r="L44" s="1" t="s">
        <v>106</v>
      </c>
      <c r="M44" s="1" t="s">
        <v>71</v>
      </c>
      <c r="N44" s="1">
        <v>0.97</v>
      </c>
      <c r="O44" s="1" t="s">
        <v>34</v>
      </c>
    </row>
    <row r="45" spans="1:15">
      <c r="A45" s="1" t="s">
        <v>173</v>
      </c>
      <c r="B45" s="1" t="s">
        <v>174</v>
      </c>
      <c r="C45" s="1" t="s">
        <v>175</v>
      </c>
      <c r="D45" s="1" t="s">
        <v>26</v>
      </c>
      <c r="E45" s="1" t="s">
        <v>27</v>
      </c>
      <c r="F45" s="2">
        <v>95</v>
      </c>
      <c r="G45" s="1">
        <v>139</v>
      </c>
      <c r="H45" s="1" t="s">
        <v>18</v>
      </c>
      <c r="I45" s="3">
        <v>46234</v>
      </c>
      <c r="J45" s="1">
        <v>0.7</v>
      </c>
      <c r="K45" s="1" t="s">
        <v>19</v>
      </c>
      <c r="L45" s="1" t="s">
        <v>84</v>
      </c>
      <c r="M45" s="1">
        <v>4.38</v>
      </c>
      <c r="N45" s="1" t="s">
        <v>34</v>
      </c>
      <c r="O45" s="1"/>
    </row>
    <row r="46" spans="1:15">
      <c r="A46" s="1" t="s">
        <v>176</v>
      </c>
      <c r="B46" s="1" t="s">
        <v>103</v>
      </c>
      <c r="C46" s="1" t="s">
        <v>146</v>
      </c>
      <c r="D46" s="1" t="s">
        <v>26</v>
      </c>
      <c r="E46" s="1" t="s">
        <v>83</v>
      </c>
      <c r="F46" s="2">
        <v>29</v>
      </c>
      <c r="G46" s="1">
        <v>967</v>
      </c>
      <c r="H46" s="1" t="s">
        <v>38</v>
      </c>
      <c r="I46" s="3">
        <v>46320</v>
      </c>
      <c r="J46" s="1">
        <v>0.9</v>
      </c>
      <c r="K46" s="1" t="s">
        <v>19</v>
      </c>
      <c r="L46" s="1" t="s">
        <v>131</v>
      </c>
      <c r="M46" s="1" t="s">
        <v>132</v>
      </c>
      <c r="N46" s="1">
        <v>5.73</v>
      </c>
      <c r="O46" s="1" t="s">
        <v>34</v>
      </c>
    </row>
    <row r="47" spans="1:15">
      <c r="A47" s="1" t="s">
        <v>177</v>
      </c>
      <c r="B47" s="1" t="s">
        <v>178</v>
      </c>
      <c r="C47" s="1" t="s">
        <v>175</v>
      </c>
      <c r="D47" s="1" t="s">
        <v>16</v>
      </c>
      <c r="E47" s="1" t="s">
        <v>92</v>
      </c>
      <c r="F47" s="2">
        <v>33</v>
      </c>
      <c r="G47" s="1">
        <v>841</v>
      </c>
      <c r="H47" s="1" t="s">
        <v>38</v>
      </c>
      <c r="I47" s="3">
        <v>46379</v>
      </c>
      <c r="J47" s="1">
        <v>0.4</v>
      </c>
      <c r="K47" s="1" t="s">
        <v>19</v>
      </c>
      <c r="L47" s="1" t="s">
        <v>84</v>
      </c>
      <c r="M47" s="1">
        <v>9.93</v>
      </c>
      <c r="N47" s="1" t="s">
        <v>28</v>
      </c>
      <c r="O47" s="1"/>
    </row>
    <row r="48" spans="1:15">
      <c r="A48" s="1" t="s">
        <v>179</v>
      </c>
      <c r="B48" s="1" t="s">
        <v>180</v>
      </c>
      <c r="C48" s="1" t="s">
        <v>181</v>
      </c>
      <c r="D48" s="1" t="s">
        <v>26</v>
      </c>
      <c r="E48" s="1" t="s">
        <v>31</v>
      </c>
      <c r="F48" s="2">
        <v>147</v>
      </c>
      <c r="G48" s="1">
        <v>453</v>
      </c>
      <c r="H48" s="1" t="s">
        <v>45</v>
      </c>
      <c r="I48" s="3">
        <v>46093</v>
      </c>
      <c r="J48" s="1">
        <v>0.5</v>
      </c>
      <c r="K48" s="1" t="s">
        <v>22</v>
      </c>
      <c r="L48" s="1" t="s">
        <v>70</v>
      </c>
      <c r="M48" s="1" t="s">
        <v>71</v>
      </c>
      <c r="N48" s="1">
        <v>4.03</v>
      </c>
      <c r="O48" s="1" t="s">
        <v>22</v>
      </c>
    </row>
    <row r="49" spans="1:15">
      <c r="A49" s="1" t="s">
        <v>182</v>
      </c>
      <c r="B49" s="1" t="s">
        <v>100</v>
      </c>
      <c r="C49" s="1" t="s">
        <v>68</v>
      </c>
      <c r="D49" s="1" t="s">
        <v>26</v>
      </c>
      <c r="E49" s="1" t="s">
        <v>60</v>
      </c>
      <c r="F49" s="2">
        <v>157</v>
      </c>
      <c r="G49" s="1">
        <v>10</v>
      </c>
      <c r="H49" s="1" t="s">
        <v>45</v>
      </c>
      <c r="I49" s="3">
        <v>46170</v>
      </c>
      <c r="J49" s="1">
        <v>1</v>
      </c>
      <c r="K49" s="1" t="s">
        <v>22</v>
      </c>
      <c r="L49" s="1" t="s">
        <v>84</v>
      </c>
      <c r="M49" s="1">
        <v>7.28</v>
      </c>
      <c r="N49" s="1" t="s">
        <v>34</v>
      </c>
      <c r="O49" s="1"/>
    </row>
    <row r="50" spans="1:15">
      <c r="A50" s="1" t="s">
        <v>183</v>
      </c>
      <c r="B50" s="1" t="s">
        <v>53</v>
      </c>
      <c r="C50" s="1" t="s">
        <v>184</v>
      </c>
      <c r="D50" s="1" t="s">
        <v>26</v>
      </c>
      <c r="E50" s="1" t="s">
        <v>69</v>
      </c>
      <c r="F50" s="2">
        <v>105</v>
      </c>
      <c r="G50" s="1">
        <v>181</v>
      </c>
      <c r="H50" s="1" t="s">
        <v>45</v>
      </c>
      <c r="I50" s="3">
        <v>46206</v>
      </c>
      <c r="J50" s="1">
        <v>0.8</v>
      </c>
      <c r="K50" s="1" t="s">
        <v>19</v>
      </c>
      <c r="L50" s="1" t="s">
        <v>20</v>
      </c>
      <c r="M50" s="1" t="s">
        <v>21</v>
      </c>
      <c r="N50" s="1">
        <v>5.99</v>
      </c>
      <c r="O50" s="1" t="s">
        <v>22</v>
      </c>
    </row>
    <row r="51" spans="1:15">
      <c r="A51" s="1" t="s">
        <v>185</v>
      </c>
      <c r="B51" s="1" t="s">
        <v>174</v>
      </c>
      <c r="C51" s="1" t="s">
        <v>165</v>
      </c>
      <c r="D51" s="1" t="s">
        <v>16</v>
      </c>
      <c r="E51" s="1" t="s">
        <v>27</v>
      </c>
      <c r="F51" s="2">
        <v>89</v>
      </c>
      <c r="G51" s="1">
        <v>321</v>
      </c>
      <c r="H51" s="1" t="s">
        <v>18</v>
      </c>
      <c r="I51" s="3">
        <v>46116</v>
      </c>
      <c r="J51" s="1">
        <v>0.4</v>
      </c>
      <c r="K51" s="1" t="s">
        <v>19</v>
      </c>
      <c r="L51" s="1" t="s">
        <v>20</v>
      </c>
      <c r="M51" s="1" t="s">
        <v>21</v>
      </c>
      <c r="N51" s="1">
        <v>9.19</v>
      </c>
      <c r="O51" s="1" t="s">
        <v>47</v>
      </c>
    </row>
    <row r="52" spans="1:15">
      <c r="A52" s="1" t="s">
        <v>186</v>
      </c>
      <c r="B52" s="1" t="s">
        <v>79</v>
      </c>
      <c r="C52" s="1" t="s">
        <v>187</v>
      </c>
      <c r="D52" s="1" t="s">
        <v>26</v>
      </c>
      <c r="E52" s="1" t="s">
        <v>17</v>
      </c>
      <c r="F52" s="2">
        <v>177</v>
      </c>
      <c r="G52" s="1">
        <v>653</v>
      </c>
      <c r="H52" s="1" t="s">
        <v>45</v>
      </c>
      <c r="I52" s="3">
        <v>46147</v>
      </c>
      <c r="J52" s="1">
        <v>0.5</v>
      </c>
      <c r="K52" s="1" t="s">
        <v>22</v>
      </c>
      <c r="L52" s="1" t="s">
        <v>56</v>
      </c>
      <c r="M52" s="1" t="s">
        <v>57</v>
      </c>
      <c r="N52" s="1">
        <v>2.76</v>
      </c>
      <c r="O52" s="1" t="s">
        <v>34</v>
      </c>
    </row>
    <row r="53" spans="1:15">
      <c r="A53" s="1" t="s">
        <v>188</v>
      </c>
      <c r="B53" s="1" t="s">
        <v>64</v>
      </c>
      <c r="C53" s="1" t="s">
        <v>189</v>
      </c>
      <c r="D53" s="1" t="s">
        <v>26</v>
      </c>
      <c r="E53" s="1" t="s">
        <v>101</v>
      </c>
      <c r="F53" s="2">
        <v>125</v>
      </c>
      <c r="G53" s="1">
        <v>464</v>
      </c>
      <c r="H53" s="1" t="s">
        <v>45</v>
      </c>
      <c r="I53" s="3">
        <v>46374</v>
      </c>
      <c r="J53" s="1">
        <v>0.9</v>
      </c>
      <c r="K53" s="1" t="s">
        <v>22</v>
      </c>
      <c r="L53" s="1" t="s">
        <v>20</v>
      </c>
      <c r="M53" s="1" t="s">
        <v>21</v>
      </c>
      <c r="N53" s="1">
        <v>4.8099999999999996</v>
      </c>
      <c r="O53" s="1" t="s">
        <v>47</v>
      </c>
    </row>
    <row r="54" spans="1:15">
      <c r="A54" s="1" t="s">
        <v>190</v>
      </c>
      <c r="B54" s="1" t="s">
        <v>30</v>
      </c>
      <c r="C54" s="1" t="s">
        <v>191</v>
      </c>
      <c r="D54" s="1" t="s">
        <v>26</v>
      </c>
      <c r="E54" s="1" t="s">
        <v>69</v>
      </c>
      <c r="F54" s="2">
        <v>82</v>
      </c>
      <c r="G54" s="1">
        <v>833</v>
      </c>
      <c r="H54" s="1" t="s">
        <v>18</v>
      </c>
      <c r="I54" s="3">
        <v>46289</v>
      </c>
      <c r="J54" s="1">
        <v>0.7</v>
      </c>
      <c r="K54" s="1" t="s">
        <v>19</v>
      </c>
      <c r="L54" s="1" t="s">
        <v>56</v>
      </c>
      <c r="M54" s="1" t="s">
        <v>57</v>
      </c>
      <c r="N54" s="1">
        <v>8.9700000000000006</v>
      </c>
      <c r="O54" s="1" t="s">
        <v>47</v>
      </c>
    </row>
    <row r="55" spans="1:15">
      <c r="A55" s="1" t="s">
        <v>192</v>
      </c>
      <c r="B55" s="1" t="s">
        <v>97</v>
      </c>
      <c r="C55" s="1" t="s">
        <v>158</v>
      </c>
      <c r="D55" s="1" t="s">
        <v>26</v>
      </c>
      <c r="E55" s="1" t="s">
        <v>142</v>
      </c>
      <c r="F55" s="2">
        <v>43</v>
      </c>
      <c r="G55" s="1">
        <v>579</v>
      </c>
      <c r="H55" s="1" t="s">
        <v>38</v>
      </c>
      <c r="I55" s="3">
        <v>46162</v>
      </c>
      <c r="J55" s="1">
        <v>0.9</v>
      </c>
      <c r="K55" s="1" t="s">
        <v>22</v>
      </c>
      <c r="L55" s="1" t="s">
        <v>46</v>
      </c>
      <c r="M55" s="1" t="s">
        <v>40</v>
      </c>
      <c r="N55" s="1">
        <v>0.57999999999999996</v>
      </c>
      <c r="O55" s="1" t="s">
        <v>22</v>
      </c>
    </row>
    <row r="56" spans="1:15">
      <c r="A56" s="1" t="s">
        <v>193</v>
      </c>
      <c r="B56" s="1" t="s">
        <v>194</v>
      </c>
      <c r="C56" s="1" t="s">
        <v>168</v>
      </c>
      <c r="D56" s="1" t="s">
        <v>26</v>
      </c>
      <c r="E56" s="1" t="s">
        <v>105</v>
      </c>
      <c r="F56" s="2">
        <v>167</v>
      </c>
      <c r="G56" s="1">
        <v>702</v>
      </c>
      <c r="H56" s="1" t="s">
        <v>45</v>
      </c>
      <c r="I56" s="3">
        <v>46378</v>
      </c>
      <c r="J56" s="1">
        <v>0.5</v>
      </c>
      <c r="K56" s="1" t="s">
        <v>19</v>
      </c>
      <c r="L56" s="1" t="s">
        <v>84</v>
      </c>
      <c r="M56" s="1">
        <v>2.64</v>
      </c>
      <c r="N56" s="1" t="s">
        <v>28</v>
      </c>
      <c r="O56" s="1"/>
    </row>
    <row r="57" spans="1:15">
      <c r="A57" s="1" t="s">
        <v>195</v>
      </c>
      <c r="B57" s="1" t="s">
        <v>196</v>
      </c>
      <c r="C57" s="1" t="s">
        <v>158</v>
      </c>
      <c r="D57" s="1" t="s">
        <v>26</v>
      </c>
      <c r="E57" s="1" t="s">
        <v>17</v>
      </c>
      <c r="F57" s="2">
        <v>67</v>
      </c>
      <c r="G57" s="1">
        <v>536</v>
      </c>
      <c r="H57" s="1" t="s">
        <v>18</v>
      </c>
      <c r="I57" s="3">
        <v>46317</v>
      </c>
      <c r="J57" s="1">
        <v>0.6</v>
      </c>
      <c r="K57" s="1" t="s">
        <v>19</v>
      </c>
      <c r="L57" s="1" t="s">
        <v>147</v>
      </c>
      <c r="M57" s="1" t="s">
        <v>148</v>
      </c>
      <c r="N57" s="1">
        <v>1.67</v>
      </c>
      <c r="O57" s="1" t="s">
        <v>22</v>
      </c>
    </row>
    <row r="58" spans="1:15">
      <c r="A58" s="1" t="s">
        <v>197</v>
      </c>
      <c r="B58" s="1" t="s">
        <v>198</v>
      </c>
      <c r="C58" s="1" t="s">
        <v>163</v>
      </c>
      <c r="D58" s="1" t="s">
        <v>26</v>
      </c>
      <c r="E58" s="1" t="s">
        <v>51</v>
      </c>
      <c r="F58" s="2">
        <v>115</v>
      </c>
      <c r="G58" s="1">
        <v>18</v>
      </c>
      <c r="H58" s="1" t="s">
        <v>45</v>
      </c>
      <c r="I58" s="3">
        <v>46265</v>
      </c>
      <c r="J58" s="1">
        <v>0.3</v>
      </c>
      <c r="K58" s="1" t="s">
        <v>22</v>
      </c>
      <c r="L58" s="1" t="s">
        <v>147</v>
      </c>
      <c r="M58" s="1" t="s">
        <v>148</v>
      </c>
      <c r="N58" s="1">
        <v>3.65</v>
      </c>
      <c r="O58" s="1" t="s">
        <v>28</v>
      </c>
    </row>
    <row r="59" spans="1:15">
      <c r="A59" s="1" t="s">
        <v>199</v>
      </c>
      <c r="B59" s="1" t="s">
        <v>198</v>
      </c>
      <c r="C59" s="1" t="s">
        <v>187</v>
      </c>
      <c r="D59" s="1" t="s">
        <v>26</v>
      </c>
      <c r="E59" s="1" t="s">
        <v>31</v>
      </c>
      <c r="F59" s="2">
        <v>29</v>
      </c>
      <c r="G59" s="1">
        <v>114</v>
      </c>
      <c r="H59" s="1" t="s">
        <v>38</v>
      </c>
      <c r="I59" s="3">
        <v>46241</v>
      </c>
      <c r="J59" s="1">
        <v>0.9</v>
      </c>
      <c r="K59" s="1" t="s">
        <v>22</v>
      </c>
      <c r="L59" s="1" t="s">
        <v>46</v>
      </c>
      <c r="M59" s="1" t="s">
        <v>40</v>
      </c>
      <c r="N59" s="1">
        <v>8.8800000000000008</v>
      </c>
      <c r="O59" s="1" t="s">
        <v>47</v>
      </c>
    </row>
    <row r="60" spans="1:15">
      <c r="A60" s="1" t="s">
        <v>200</v>
      </c>
      <c r="B60" s="1" t="s">
        <v>59</v>
      </c>
      <c r="C60" s="1" t="s">
        <v>172</v>
      </c>
      <c r="D60" s="1" t="s">
        <v>16</v>
      </c>
      <c r="E60" s="1" t="s">
        <v>55</v>
      </c>
      <c r="F60" s="2">
        <v>179</v>
      </c>
      <c r="G60" s="1">
        <v>227</v>
      </c>
      <c r="H60" s="1" t="s">
        <v>45</v>
      </c>
      <c r="I60" s="3">
        <v>46235</v>
      </c>
      <c r="J60" s="1">
        <v>0.8</v>
      </c>
      <c r="K60" s="1" t="s">
        <v>32</v>
      </c>
      <c r="L60" s="1" t="s">
        <v>76</v>
      </c>
      <c r="M60" s="1" t="s">
        <v>77</v>
      </c>
      <c r="N60" s="1">
        <v>4.55</v>
      </c>
      <c r="O60" s="1" t="s">
        <v>22</v>
      </c>
    </row>
    <row r="61" spans="1:15">
      <c r="A61" s="1" t="s">
        <v>201</v>
      </c>
      <c r="B61" s="1" t="s">
        <v>194</v>
      </c>
      <c r="C61" s="1" t="s">
        <v>202</v>
      </c>
      <c r="D61" s="1" t="s">
        <v>26</v>
      </c>
      <c r="E61" s="1" t="s">
        <v>69</v>
      </c>
      <c r="F61" s="2">
        <v>102</v>
      </c>
      <c r="G61" s="1">
        <v>435</v>
      </c>
      <c r="H61" s="1" t="s">
        <v>45</v>
      </c>
      <c r="I61" s="3">
        <v>46343</v>
      </c>
      <c r="J61" s="1">
        <v>0.7</v>
      </c>
      <c r="K61" s="1" t="s">
        <v>22</v>
      </c>
      <c r="L61" s="1" t="s">
        <v>117</v>
      </c>
      <c r="M61" s="1" t="s">
        <v>118</v>
      </c>
      <c r="N61" s="1">
        <v>9.7200000000000006</v>
      </c>
      <c r="O61" s="1" t="s">
        <v>22</v>
      </c>
    </row>
    <row r="62" spans="1:15">
      <c r="A62" s="1" t="s">
        <v>203</v>
      </c>
      <c r="B62" s="1" t="s">
        <v>204</v>
      </c>
      <c r="C62" s="1" t="s">
        <v>172</v>
      </c>
      <c r="D62" s="1" t="s">
        <v>16</v>
      </c>
      <c r="E62" s="1" t="s">
        <v>92</v>
      </c>
      <c r="F62" s="2">
        <v>77</v>
      </c>
      <c r="G62" s="1">
        <v>387</v>
      </c>
      <c r="H62" s="1" t="s">
        <v>18</v>
      </c>
      <c r="I62" s="3">
        <v>46182</v>
      </c>
      <c r="J62" s="1">
        <v>0.3</v>
      </c>
      <c r="K62" s="1" t="s">
        <v>32</v>
      </c>
      <c r="L62" s="1" t="s">
        <v>117</v>
      </c>
      <c r="M62" s="1" t="s">
        <v>118</v>
      </c>
      <c r="N62" s="1">
        <v>4.0999999999999996</v>
      </c>
      <c r="O62" s="1" t="s">
        <v>47</v>
      </c>
    </row>
    <row r="63" spans="1:15">
      <c r="A63" s="1" t="s">
        <v>205</v>
      </c>
      <c r="B63" s="1" t="s">
        <v>206</v>
      </c>
      <c r="C63" s="1" t="s">
        <v>113</v>
      </c>
      <c r="D63" s="1" t="s">
        <v>26</v>
      </c>
      <c r="E63" s="1" t="s">
        <v>27</v>
      </c>
      <c r="F63" s="2">
        <v>120</v>
      </c>
      <c r="G63" s="1">
        <v>109</v>
      </c>
      <c r="H63" s="1" t="s">
        <v>45</v>
      </c>
      <c r="I63" s="3">
        <v>46040</v>
      </c>
      <c r="J63" s="1">
        <v>0.6</v>
      </c>
      <c r="K63" s="1" t="s">
        <v>22</v>
      </c>
      <c r="L63" s="1" t="s">
        <v>76</v>
      </c>
      <c r="M63" s="1" t="s">
        <v>77</v>
      </c>
      <c r="N63" s="1">
        <v>1.82</v>
      </c>
      <c r="O63" s="1" t="s">
        <v>34</v>
      </c>
    </row>
    <row r="64" spans="1:15">
      <c r="A64" s="1" t="s">
        <v>207</v>
      </c>
      <c r="B64" s="1" t="s">
        <v>204</v>
      </c>
      <c r="C64" s="1" t="s">
        <v>25</v>
      </c>
      <c r="D64" s="1" t="s">
        <v>26</v>
      </c>
      <c r="E64" s="1" t="s">
        <v>55</v>
      </c>
      <c r="F64" s="2">
        <v>42</v>
      </c>
      <c r="G64" s="1">
        <v>681</v>
      </c>
      <c r="H64" s="1" t="s">
        <v>38</v>
      </c>
      <c r="I64" s="3">
        <v>46292</v>
      </c>
      <c r="J64" s="1">
        <v>1</v>
      </c>
      <c r="K64" s="1" t="s">
        <v>19</v>
      </c>
      <c r="L64" s="1" t="s">
        <v>70</v>
      </c>
      <c r="M64" s="1" t="s">
        <v>71</v>
      </c>
      <c r="N64" s="1">
        <v>8.64</v>
      </c>
      <c r="O64" s="1" t="s">
        <v>47</v>
      </c>
    </row>
    <row r="65" spans="1:15">
      <c r="A65" s="1" t="s">
        <v>208</v>
      </c>
      <c r="B65" s="1" t="s">
        <v>73</v>
      </c>
      <c r="C65" s="1" t="s">
        <v>202</v>
      </c>
      <c r="D65" s="1" t="s">
        <v>26</v>
      </c>
      <c r="E65" s="1" t="s">
        <v>105</v>
      </c>
      <c r="F65" s="2">
        <v>127</v>
      </c>
      <c r="G65" s="1">
        <v>981</v>
      </c>
      <c r="H65" s="1" t="s">
        <v>45</v>
      </c>
      <c r="I65" s="3">
        <v>46307</v>
      </c>
      <c r="J65" s="1">
        <v>0.6</v>
      </c>
      <c r="K65" s="1" t="s">
        <v>22</v>
      </c>
      <c r="L65" s="1" t="s">
        <v>76</v>
      </c>
      <c r="M65" s="1" t="s">
        <v>77</v>
      </c>
      <c r="N65" s="1">
        <v>6.42</v>
      </c>
      <c r="O65" s="1" t="s">
        <v>22</v>
      </c>
    </row>
    <row r="66" spans="1:15">
      <c r="A66" s="1" t="s">
        <v>209</v>
      </c>
      <c r="B66" s="1" t="s">
        <v>198</v>
      </c>
      <c r="C66" s="1" t="s">
        <v>191</v>
      </c>
      <c r="D66" s="1" t="s">
        <v>16</v>
      </c>
      <c r="E66" s="1" t="s">
        <v>55</v>
      </c>
      <c r="F66" s="2">
        <v>89</v>
      </c>
      <c r="G66" s="1">
        <v>413</v>
      </c>
      <c r="H66" s="1" t="s">
        <v>18</v>
      </c>
      <c r="I66" s="3">
        <v>46095</v>
      </c>
      <c r="J66" s="1">
        <v>0.7</v>
      </c>
      <c r="K66" s="1" t="s">
        <v>22</v>
      </c>
      <c r="L66" s="1" t="s">
        <v>88</v>
      </c>
      <c r="M66" s="1" t="s">
        <v>89</v>
      </c>
      <c r="N66" s="1">
        <v>3.91</v>
      </c>
      <c r="O66" s="1" t="s">
        <v>28</v>
      </c>
    </row>
    <row r="67" spans="1:15">
      <c r="A67" s="1" t="s">
        <v>210</v>
      </c>
      <c r="B67" s="1" t="s">
        <v>211</v>
      </c>
      <c r="C67" s="1" t="s">
        <v>15</v>
      </c>
      <c r="D67" s="1" t="s">
        <v>16</v>
      </c>
      <c r="E67" s="1" t="s">
        <v>92</v>
      </c>
      <c r="F67" s="2">
        <v>28</v>
      </c>
      <c r="G67" s="1">
        <v>69</v>
      </c>
      <c r="H67" s="1" t="s">
        <v>38</v>
      </c>
      <c r="I67" s="3">
        <v>46159</v>
      </c>
      <c r="J67" s="1">
        <v>0.7</v>
      </c>
      <c r="K67" s="1" t="s">
        <v>22</v>
      </c>
      <c r="L67" s="1" t="s">
        <v>20</v>
      </c>
      <c r="M67" s="1" t="s">
        <v>21</v>
      </c>
      <c r="N67" s="1">
        <v>3.75</v>
      </c>
      <c r="O67" s="1" t="s">
        <v>28</v>
      </c>
    </row>
    <row r="68" spans="1:15">
      <c r="A68" s="1" t="s">
        <v>212</v>
      </c>
      <c r="B68" s="1" t="s">
        <v>194</v>
      </c>
      <c r="C68" s="1" t="s">
        <v>43</v>
      </c>
      <c r="D68" s="1" t="s">
        <v>26</v>
      </c>
      <c r="E68" s="1" t="s">
        <v>55</v>
      </c>
      <c r="F68" s="2">
        <v>149</v>
      </c>
      <c r="G68" s="1">
        <v>551</v>
      </c>
      <c r="H68" s="1" t="s">
        <v>45</v>
      </c>
      <c r="I68" s="3">
        <v>46200</v>
      </c>
      <c r="J68" s="1">
        <v>0.8</v>
      </c>
      <c r="K68" s="1" t="s">
        <v>19</v>
      </c>
      <c r="L68" s="1" t="s">
        <v>33</v>
      </c>
      <c r="M68" s="1">
        <v>0.79</v>
      </c>
      <c r="N68" s="1" t="s">
        <v>34</v>
      </c>
      <c r="O68" s="1"/>
    </row>
    <row r="69" spans="1:15">
      <c r="A69" s="1" t="s">
        <v>213</v>
      </c>
      <c r="B69" s="1" t="s">
        <v>126</v>
      </c>
      <c r="C69" s="1" t="s">
        <v>214</v>
      </c>
      <c r="D69" s="1" t="s">
        <v>26</v>
      </c>
      <c r="E69" s="1" t="s">
        <v>75</v>
      </c>
      <c r="F69" s="2">
        <v>138</v>
      </c>
      <c r="G69" s="1">
        <v>605</v>
      </c>
      <c r="H69" s="1" t="s">
        <v>45</v>
      </c>
      <c r="I69" s="3">
        <v>46266</v>
      </c>
      <c r="J69" s="1">
        <v>0.7</v>
      </c>
      <c r="K69" s="1" t="s">
        <v>19</v>
      </c>
      <c r="L69" s="1" t="s">
        <v>20</v>
      </c>
      <c r="M69" s="1" t="s">
        <v>21</v>
      </c>
      <c r="N69" s="1">
        <v>7.83</v>
      </c>
      <c r="O69" s="1" t="s">
        <v>34</v>
      </c>
    </row>
    <row r="70" spans="1:15">
      <c r="A70" s="1" t="s">
        <v>215</v>
      </c>
      <c r="B70" s="1" t="s">
        <v>216</v>
      </c>
      <c r="C70" s="1" t="s">
        <v>116</v>
      </c>
      <c r="D70" s="1" t="s">
        <v>16</v>
      </c>
      <c r="E70" s="1" t="s">
        <v>69</v>
      </c>
      <c r="F70" s="2">
        <v>172</v>
      </c>
      <c r="G70" s="1">
        <v>310</v>
      </c>
      <c r="H70" s="1" t="s">
        <v>45</v>
      </c>
      <c r="I70" s="3">
        <v>46314</v>
      </c>
      <c r="J70" s="1">
        <v>0.4</v>
      </c>
      <c r="K70" s="1" t="s">
        <v>32</v>
      </c>
      <c r="L70" s="1" t="s">
        <v>117</v>
      </c>
      <c r="M70" s="1" t="s">
        <v>118</v>
      </c>
      <c r="N70" s="1">
        <v>4.58</v>
      </c>
      <c r="O70" s="1" t="s">
        <v>34</v>
      </c>
    </row>
    <row r="71" spans="1:15">
      <c r="A71" s="1" t="s">
        <v>217</v>
      </c>
      <c r="B71" s="1" t="s">
        <v>218</v>
      </c>
      <c r="C71" s="1" t="s">
        <v>165</v>
      </c>
      <c r="D71" s="1" t="s">
        <v>26</v>
      </c>
      <c r="E71" s="1" t="s">
        <v>92</v>
      </c>
      <c r="F71" s="2">
        <v>136</v>
      </c>
      <c r="G71" s="1">
        <v>433</v>
      </c>
      <c r="H71" s="1" t="s">
        <v>45</v>
      </c>
      <c r="I71" s="3">
        <v>46030</v>
      </c>
      <c r="J71" s="1">
        <v>0.7</v>
      </c>
      <c r="K71" s="1" t="s">
        <v>19</v>
      </c>
      <c r="L71" s="1" t="s">
        <v>117</v>
      </c>
      <c r="M71" s="1" t="s">
        <v>118</v>
      </c>
      <c r="N71" s="1">
        <v>7.71</v>
      </c>
      <c r="O71" s="1" t="s">
        <v>47</v>
      </c>
    </row>
    <row r="72" spans="1:15">
      <c r="A72" s="1" t="s">
        <v>219</v>
      </c>
      <c r="B72" s="1" t="s">
        <v>220</v>
      </c>
      <c r="C72" s="1" t="s">
        <v>221</v>
      </c>
      <c r="D72" s="1" t="s">
        <v>16</v>
      </c>
      <c r="E72" s="1" t="s">
        <v>101</v>
      </c>
      <c r="F72" s="2">
        <v>96</v>
      </c>
      <c r="G72" s="1">
        <v>791</v>
      </c>
      <c r="H72" s="1" t="s">
        <v>18</v>
      </c>
      <c r="I72" s="3">
        <v>46214</v>
      </c>
      <c r="J72" s="1">
        <v>0.8</v>
      </c>
      <c r="K72" s="1" t="s">
        <v>19</v>
      </c>
      <c r="L72" s="1" t="s">
        <v>46</v>
      </c>
      <c r="M72" s="1" t="s">
        <v>40</v>
      </c>
      <c r="N72" s="1">
        <v>2.59</v>
      </c>
      <c r="O72" s="1" t="s">
        <v>22</v>
      </c>
    </row>
    <row r="73" spans="1:15">
      <c r="A73" s="1" t="s">
        <v>222</v>
      </c>
      <c r="B73" s="1" t="s">
        <v>30</v>
      </c>
      <c r="C73" s="1" t="s">
        <v>223</v>
      </c>
      <c r="D73" s="1" t="s">
        <v>26</v>
      </c>
      <c r="E73" s="1" t="s">
        <v>44</v>
      </c>
      <c r="F73" s="2">
        <v>28</v>
      </c>
      <c r="G73" s="1">
        <v>982</v>
      </c>
      <c r="H73" s="1" t="s">
        <v>38</v>
      </c>
      <c r="I73" s="3">
        <v>46232</v>
      </c>
      <c r="J73" s="1">
        <v>0.6</v>
      </c>
      <c r="K73" s="1" t="s">
        <v>22</v>
      </c>
      <c r="L73" s="1" t="s">
        <v>88</v>
      </c>
      <c r="M73" s="1" t="s">
        <v>89</v>
      </c>
      <c r="N73" s="1">
        <v>7.77</v>
      </c>
      <c r="O73" s="1" t="s">
        <v>28</v>
      </c>
    </row>
    <row r="74" spans="1:15">
      <c r="A74" s="1" t="s">
        <v>224</v>
      </c>
      <c r="B74" s="1" t="s">
        <v>211</v>
      </c>
      <c r="C74" s="1" t="s">
        <v>82</v>
      </c>
      <c r="D74" s="1" t="s">
        <v>26</v>
      </c>
      <c r="E74" s="1" t="s">
        <v>60</v>
      </c>
      <c r="F74" s="2">
        <v>41</v>
      </c>
      <c r="G74" s="1">
        <v>204</v>
      </c>
      <c r="H74" s="1" t="s">
        <v>38</v>
      </c>
      <c r="I74" s="3">
        <v>46078</v>
      </c>
      <c r="J74" s="1">
        <v>0.9</v>
      </c>
      <c r="K74" s="1" t="s">
        <v>32</v>
      </c>
      <c r="L74" s="1" t="s">
        <v>147</v>
      </c>
      <c r="M74" s="1" t="s">
        <v>148</v>
      </c>
      <c r="N74" s="1">
        <v>9.81</v>
      </c>
      <c r="O74" s="1" t="s">
        <v>34</v>
      </c>
    </row>
    <row r="75" spans="1:15">
      <c r="A75" s="1" t="s">
        <v>225</v>
      </c>
      <c r="B75" s="1" t="s">
        <v>103</v>
      </c>
      <c r="C75" s="1" t="s">
        <v>175</v>
      </c>
      <c r="D75" s="1" t="s">
        <v>26</v>
      </c>
      <c r="E75" s="1" t="s">
        <v>51</v>
      </c>
      <c r="F75" s="2">
        <v>40</v>
      </c>
      <c r="G75" s="1">
        <v>498</v>
      </c>
      <c r="H75" s="1" t="s">
        <v>38</v>
      </c>
      <c r="I75" s="3">
        <v>46172</v>
      </c>
      <c r="J75" s="1">
        <v>0.4</v>
      </c>
      <c r="K75" s="1" t="s">
        <v>22</v>
      </c>
      <c r="L75" s="1" t="s">
        <v>106</v>
      </c>
      <c r="M75" s="1" t="s">
        <v>71</v>
      </c>
      <c r="N75" s="1">
        <v>5.1100000000000003</v>
      </c>
      <c r="O75" s="1" t="s">
        <v>34</v>
      </c>
    </row>
    <row r="76" spans="1:15">
      <c r="A76" s="1" t="s">
        <v>226</v>
      </c>
      <c r="B76" s="1" t="s">
        <v>64</v>
      </c>
      <c r="C76" s="1" t="s">
        <v>25</v>
      </c>
      <c r="D76" s="1" t="s">
        <v>26</v>
      </c>
      <c r="E76" s="1" t="s">
        <v>92</v>
      </c>
      <c r="F76" s="2">
        <v>179</v>
      </c>
      <c r="G76" s="1">
        <v>240</v>
      </c>
      <c r="H76" s="1" t="s">
        <v>45</v>
      </c>
      <c r="I76" s="3">
        <v>46146</v>
      </c>
      <c r="J76" s="1">
        <v>0.9</v>
      </c>
      <c r="K76" s="1" t="s">
        <v>19</v>
      </c>
      <c r="L76" s="1" t="s">
        <v>88</v>
      </c>
      <c r="M76" s="1" t="s">
        <v>89</v>
      </c>
      <c r="N76" s="1">
        <v>8.48</v>
      </c>
      <c r="O76" s="1" t="s">
        <v>47</v>
      </c>
    </row>
    <row r="77" spans="1:15">
      <c r="A77" s="1" t="s">
        <v>227</v>
      </c>
      <c r="B77" s="1" t="s">
        <v>228</v>
      </c>
      <c r="C77" s="1" t="s">
        <v>165</v>
      </c>
      <c r="D77" s="1" t="s">
        <v>26</v>
      </c>
      <c r="E77" s="1" t="s">
        <v>31</v>
      </c>
      <c r="F77" s="2">
        <v>155</v>
      </c>
      <c r="G77" s="1">
        <v>582</v>
      </c>
      <c r="H77" s="1" t="s">
        <v>45</v>
      </c>
      <c r="I77" s="3">
        <v>46208</v>
      </c>
      <c r="J77" s="1">
        <v>0.3</v>
      </c>
      <c r="K77" s="1" t="s">
        <v>19</v>
      </c>
      <c r="L77" s="1" t="s">
        <v>70</v>
      </c>
      <c r="M77" s="1" t="s">
        <v>71</v>
      </c>
      <c r="N77" s="1">
        <v>5.31</v>
      </c>
      <c r="O77" s="1" t="s">
        <v>34</v>
      </c>
    </row>
    <row r="78" spans="1:15">
      <c r="A78" s="1" t="s">
        <v>229</v>
      </c>
      <c r="B78" s="1" t="s">
        <v>220</v>
      </c>
      <c r="C78" s="1" t="s">
        <v>230</v>
      </c>
      <c r="D78" s="1" t="s">
        <v>16</v>
      </c>
      <c r="E78" s="1" t="s">
        <v>69</v>
      </c>
      <c r="F78" s="2">
        <v>172</v>
      </c>
      <c r="G78" s="1">
        <v>41</v>
      </c>
      <c r="H78" s="1" t="s">
        <v>45</v>
      </c>
      <c r="I78" s="3">
        <v>46276</v>
      </c>
      <c r="J78" s="1">
        <v>0.8</v>
      </c>
      <c r="K78" s="1" t="s">
        <v>32</v>
      </c>
      <c r="L78" s="1" t="s">
        <v>106</v>
      </c>
      <c r="M78" s="1" t="s">
        <v>71</v>
      </c>
      <c r="N78" s="1">
        <v>5.05</v>
      </c>
      <c r="O78" s="1" t="s">
        <v>22</v>
      </c>
    </row>
    <row r="79" spans="1:15">
      <c r="A79" s="1" t="s">
        <v>231</v>
      </c>
      <c r="B79" s="1" t="s">
        <v>59</v>
      </c>
      <c r="C79" s="1" t="s">
        <v>138</v>
      </c>
      <c r="D79" s="1" t="s">
        <v>26</v>
      </c>
      <c r="E79" s="1" t="s">
        <v>60</v>
      </c>
      <c r="F79" s="2">
        <v>95</v>
      </c>
      <c r="G79" s="1">
        <v>221</v>
      </c>
      <c r="H79" s="1" t="s">
        <v>18</v>
      </c>
      <c r="I79" s="3">
        <v>46300</v>
      </c>
      <c r="J79" s="1">
        <v>0.6</v>
      </c>
      <c r="K79" s="1" t="s">
        <v>32</v>
      </c>
      <c r="L79" s="1" t="s">
        <v>46</v>
      </c>
      <c r="M79" s="1" t="s">
        <v>40</v>
      </c>
      <c r="N79" s="1">
        <v>9.8699999999999992</v>
      </c>
      <c r="O79" s="1" t="s">
        <v>47</v>
      </c>
    </row>
    <row r="80" spans="1:15">
      <c r="A80" s="1" t="s">
        <v>232</v>
      </c>
      <c r="B80" s="1" t="s">
        <v>233</v>
      </c>
      <c r="C80" s="1" t="s">
        <v>234</v>
      </c>
      <c r="D80" s="1" t="s">
        <v>26</v>
      </c>
      <c r="E80" s="1" t="s">
        <v>110</v>
      </c>
      <c r="F80" s="2">
        <v>95</v>
      </c>
      <c r="G80" s="1">
        <v>327</v>
      </c>
      <c r="H80" s="1" t="s">
        <v>18</v>
      </c>
      <c r="I80" s="3">
        <v>46305</v>
      </c>
      <c r="J80" s="1">
        <v>0.7</v>
      </c>
      <c r="K80" s="1" t="s">
        <v>32</v>
      </c>
      <c r="L80" s="1" t="s">
        <v>84</v>
      </c>
      <c r="M80" s="1">
        <v>6.15</v>
      </c>
      <c r="N80" s="1" t="s">
        <v>47</v>
      </c>
      <c r="O80" s="1"/>
    </row>
    <row r="81" spans="1:15">
      <c r="A81" s="1" t="s">
        <v>235</v>
      </c>
      <c r="B81" s="1" t="s">
        <v>171</v>
      </c>
      <c r="C81" s="1" t="s">
        <v>236</v>
      </c>
      <c r="D81" s="1" t="s">
        <v>26</v>
      </c>
      <c r="E81" s="1" t="s">
        <v>69</v>
      </c>
      <c r="F81" s="2">
        <v>79</v>
      </c>
      <c r="G81" s="1">
        <v>813</v>
      </c>
      <c r="H81" s="1" t="s">
        <v>18</v>
      </c>
      <c r="I81" s="3">
        <v>46087</v>
      </c>
      <c r="J81" s="1">
        <v>0.5</v>
      </c>
      <c r="K81" s="1" t="s">
        <v>32</v>
      </c>
      <c r="L81" s="1" t="s">
        <v>39</v>
      </c>
      <c r="M81" s="1" t="s">
        <v>40</v>
      </c>
      <c r="N81" s="1">
        <v>5.41</v>
      </c>
      <c r="O81" s="1" t="s">
        <v>47</v>
      </c>
    </row>
    <row r="82" spans="1:15">
      <c r="A82" s="1" t="s">
        <v>237</v>
      </c>
      <c r="B82" s="1" t="s">
        <v>86</v>
      </c>
      <c r="C82" s="1" t="s">
        <v>163</v>
      </c>
      <c r="D82" s="1" t="s">
        <v>26</v>
      </c>
      <c r="E82" s="1" t="s">
        <v>75</v>
      </c>
      <c r="F82" s="2">
        <v>60</v>
      </c>
      <c r="G82" s="1">
        <v>526</v>
      </c>
      <c r="H82" s="1" t="s">
        <v>18</v>
      </c>
      <c r="I82" s="3">
        <v>46355</v>
      </c>
      <c r="J82" s="1">
        <v>0.8</v>
      </c>
      <c r="K82" s="1" t="s">
        <v>22</v>
      </c>
      <c r="L82" s="1" t="s">
        <v>56</v>
      </c>
      <c r="M82" s="1" t="s">
        <v>57</v>
      </c>
      <c r="N82" s="1">
        <v>5.42</v>
      </c>
      <c r="O82" s="1" t="s">
        <v>28</v>
      </c>
    </row>
    <row r="83" spans="1:15">
      <c r="A83" s="1" t="s">
        <v>238</v>
      </c>
      <c r="B83" s="1" t="s">
        <v>59</v>
      </c>
      <c r="C83" s="1" t="s">
        <v>236</v>
      </c>
      <c r="D83" s="1" t="s">
        <v>26</v>
      </c>
      <c r="E83" s="1" t="s">
        <v>51</v>
      </c>
      <c r="F83" s="2">
        <v>111</v>
      </c>
      <c r="G83" s="1">
        <v>817</v>
      </c>
      <c r="H83" s="1" t="s">
        <v>45</v>
      </c>
      <c r="I83" s="3">
        <v>46050</v>
      </c>
      <c r="J83" s="1">
        <v>0.5</v>
      </c>
      <c r="K83" s="1" t="s">
        <v>19</v>
      </c>
      <c r="L83" s="1" t="s">
        <v>128</v>
      </c>
      <c r="M83" s="1" t="s">
        <v>40</v>
      </c>
      <c r="N83" s="1">
        <v>4.13</v>
      </c>
      <c r="O83" s="1" t="s">
        <v>22</v>
      </c>
    </row>
    <row r="84" spans="1:15">
      <c r="A84" s="1" t="s">
        <v>239</v>
      </c>
      <c r="B84" s="1" t="s">
        <v>198</v>
      </c>
      <c r="C84" s="1" t="s">
        <v>138</v>
      </c>
      <c r="D84" s="1" t="s">
        <v>16</v>
      </c>
      <c r="E84" s="1" t="s">
        <v>51</v>
      </c>
      <c r="F84" s="2">
        <v>156</v>
      </c>
      <c r="G84" s="1">
        <v>363</v>
      </c>
      <c r="H84" s="1" t="s">
        <v>45</v>
      </c>
      <c r="I84" s="3">
        <v>46335</v>
      </c>
      <c r="J84" s="1">
        <v>0.5</v>
      </c>
      <c r="K84" s="1" t="s">
        <v>32</v>
      </c>
      <c r="L84" s="1" t="s">
        <v>61</v>
      </c>
      <c r="M84" s="1" t="s">
        <v>62</v>
      </c>
      <c r="N84" s="1">
        <v>3.78</v>
      </c>
      <c r="O84" s="1" t="s">
        <v>28</v>
      </c>
    </row>
    <row r="85" spans="1:15">
      <c r="A85" s="1" t="s">
        <v>240</v>
      </c>
      <c r="B85" s="1" t="s">
        <v>241</v>
      </c>
      <c r="C85" s="1" t="s">
        <v>234</v>
      </c>
      <c r="D85" s="1" t="s">
        <v>26</v>
      </c>
      <c r="E85" s="1" t="s">
        <v>44</v>
      </c>
      <c r="F85" s="2">
        <v>170</v>
      </c>
      <c r="G85" s="1">
        <v>721</v>
      </c>
      <c r="H85" s="1" t="s">
        <v>45</v>
      </c>
      <c r="I85" s="3">
        <v>46050</v>
      </c>
      <c r="J85" s="1">
        <v>0.8</v>
      </c>
      <c r="K85" s="1" t="s">
        <v>19</v>
      </c>
      <c r="L85" s="1" t="s">
        <v>56</v>
      </c>
      <c r="M85" s="1" t="s">
        <v>57</v>
      </c>
      <c r="N85" s="1">
        <v>3.75</v>
      </c>
      <c r="O85" s="1" t="s">
        <v>47</v>
      </c>
    </row>
    <row r="86" spans="1:15">
      <c r="A86" s="1" t="s">
        <v>242</v>
      </c>
      <c r="B86" s="1" t="s">
        <v>178</v>
      </c>
      <c r="C86" s="1" t="s">
        <v>156</v>
      </c>
      <c r="D86" s="1" t="s">
        <v>26</v>
      </c>
      <c r="E86" s="1" t="s">
        <v>31</v>
      </c>
      <c r="F86" s="2">
        <v>121</v>
      </c>
      <c r="G86" s="1">
        <v>948</v>
      </c>
      <c r="H86" s="1" t="s">
        <v>45</v>
      </c>
      <c r="I86" s="3">
        <v>46306</v>
      </c>
      <c r="J86" s="1">
        <v>0.5</v>
      </c>
      <c r="K86" s="1" t="s">
        <v>19</v>
      </c>
      <c r="L86" s="1" t="s">
        <v>33</v>
      </c>
      <c r="M86" s="1">
        <v>9.49</v>
      </c>
      <c r="N86" s="1" t="s">
        <v>47</v>
      </c>
      <c r="O86" s="1"/>
    </row>
    <row r="87" spans="1:15">
      <c r="A87" s="1" t="s">
        <v>243</v>
      </c>
      <c r="B87" s="1" t="s">
        <v>59</v>
      </c>
      <c r="C87" s="1" t="s">
        <v>98</v>
      </c>
      <c r="D87" s="1" t="s">
        <v>26</v>
      </c>
      <c r="E87" s="1" t="s">
        <v>142</v>
      </c>
      <c r="F87" s="2">
        <v>155</v>
      </c>
      <c r="G87" s="1">
        <v>426</v>
      </c>
      <c r="H87" s="1" t="s">
        <v>45</v>
      </c>
      <c r="I87" s="3">
        <v>46183</v>
      </c>
      <c r="J87" s="1">
        <v>0.5</v>
      </c>
      <c r="K87" s="1" t="s">
        <v>32</v>
      </c>
      <c r="L87" s="1" t="s">
        <v>33</v>
      </c>
      <c r="M87" s="1">
        <v>3.24</v>
      </c>
      <c r="N87" s="1" t="s">
        <v>22</v>
      </c>
      <c r="O87" s="1"/>
    </row>
    <row r="88" spans="1:15">
      <c r="A88" s="1" t="s">
        <v>244</v>
      </c>
      <c r="B88" s="1" t="s">
        <v>100</v>
      </c>
      <c r="C88" s="1" t="s">
        <v>245</v>
      </c>
      <c r="D88" s="1" t="s">
        <v>16</v>
      </c>
      <c r="E88" s="1" t="s">
        <v>75</v>
      </c>
      <c r="F88" s="2">
        <v>155</v>
      </c>
      <c r="G88" s="1">
        <v>312</v>
      </c>
      <c r="H88" s="1" t="s">
        <v>45</v>
      </c>
      <c r="I88" s="3">
        <v>46068</v>
      </c>
      <c r="J88" s="1">
        <v>0.4</v>
      </c>
      <c r="K88" s="1" t="s">
        <v>22</v>
      </c>
      <c r="L88" s="1" t="s">
        <v>131</v>
      </c>
      <c r="M88" s="1" t="s">
        <v>132</v>
      </c>
      <c r="N88" s="1">
        <v>9.9499999999999993</v>
      </c>
      <c r="O88" s="1" t="s">
        <v>34</v>
      </c>
    </row>
    <row r="89" spans="1:15">
      <c r="A89" s="1" t="s">
        <v>246</v>
      </c>
      <c r="B89" s="1" t="s">
        <v>171</v>
      </c>
      <c r="C89" s="1" t="s">
        <v>247</v>
      </c>
      <c r="D89" s="1" t="s">
        <v>16</v>
      </c>
      <c r="E89" s="1" t="s">
        <v>44</v>
      </c>
      <c r="F89" s="2">
        <v>142</v>
      </c>
      <c r="G89" s="1">
        <v>556</v>
      </c>
      <c r="H89" s="1" t="s">
        <v>45</v>
      </c>
      <c r="I89" s="3">
        <v>46166</v>
      </c>
      <c r="J89" s="1">
        <v>0.5</v>
      </c>
      <c r="K89" s="1" t="s">
        <v>19</v>
      </c>
      <c r="L89" s="1" t="s">
        <v>39</v>
      </c>
      <c r="M89" s="1" t="s">
        <v>40</v>
      </c>
      <c r="N89" s="1">
        <v>6.66</v>
      </c>
      <c r="O89" s="1" t="s">
        <v>47</v>
      </c>
    </row>
    <row r="90" spans="1:15">
      <c r="A90" s="1" t="s">
        <v>248</v>
      </c>
      <c r="B90" s="1" t="s">
        <v>249</v>
      </c>
      <c r="C90" s="1" t="s">
        <v>158</v>
      </c>
      <c r="D90" s="1" t="s">
        <v>16</v>
      </c>
      <c r="E90" s="1" t="s">
        <v>101</v>
      </c>
      <c r="F90" s="2">
        <v>111</v>
      </c>
      <c r="G90" s="1">
        <v>273</v>
      </c>
      <c r="H90" s="1" t="s">
        <v>45</v>
      </c>
      <c r="I90" s="3">
        <v>46251</v>
      </c>
      <c r="J90" s="1">
        <v>0.4</v>
      </c>
      <c r="K90" s="1" t="s">
        <v>32</v>
      </c>
      <c r="L90" s="1" t="s">
        <v>39</v>
      </c>
      <c r="M90" s="1" t="s">
        <v>40</v>
      </c>
      <c r="N90" s="1">
        <v>2.4</v>
      </c>
      <c r="O90" s="1" t="s">
        <v>22</v>
      </c>
    </row>
    <row r="91" spans="1:15">
      <c r="A91" s="1" t="s">
        <v>250</v>
      </c>
      <c r="B91" s="1" t="s">
        <v>103</v>
      </c>
      <c r="C91" s="1" t="s">
        <v>87</v>
      </c>
      <c r="D91" s="1" t="s">
        <v>16</v>
      </c>
      <c r="E91" s="1" t="s">
        <v>17</v>
      </c>
      <c r="F91" s="2">
        <v>136</v>
      </c>
      <c r="G91" s="1">
        <v>196</v>
      </c>
      <c r="H91" s="1" t="s">
        <v>45</v>
      </c>
      <c r="I91" s="3">
        <v>46288</v>
      </c>
      <c r="J91" s="1">
        <v>0.8</v>
      </c>
      <c r="K91" s="1" t="s">
        <v>19</v>
      </c>
      <c r="L91" s="1" t="s">
        <v>61</v>
      </c>
      <c r="M91" s="1" t="s">
        <v>62</v>
      </c>
      <c r="N91" s="1">
        <v>7.36</v>
      </c>
      <c r="O91" s="1" t="s">
        <v>34</v>
      </c>
    </row>
    <row r="92" spans="1:15">
      <c r="A92" s="1" t="s">
        <v>251</v>
      </c>
      <c r="B92" s="1" t="s">
        <v>178</v>
      </c>
      <c r="C92" s="1" t="s">
        <v>98</v>
      </c>
      <c r="D92" s="1" t="s">
        <v>16</v>
      </c>
      <c r="E92" s="1" t="s">
        <v>44</v>
      </c>
      <c r="F92" s="2">
        <v>41</v>
      </c>
      <c r="G92" s="1">
        <v>994</v>
      </c>
      <c r="H92" s="1" t="s">
        <v>38</v>
      </c>
      <c r="I92" s="3">
        <v>46320</v>
      </c>
      <c r="J92" s="1">
        <v>0.8</v>
      </c>
      <c r="K92" s="1" t="s">
        <v>22</v>
      </c>
      <c r="L92" s="1" t="s">
        <v>46</v>
      </c>
      <c r="M92" s="1" t="s">
        <v>40</v>
      </c>
      <c r="N92" s="1">
        <v>3.7</v>
      </c>
      <c r="O92" s="1" t="s">
        <v>28</v>
      </c>
    </row>
    <row r="93" spans="1:15">
      <c r="A93" s="1" t="s">
        <v>252</v>
      </c>
      <c r="B93" s="1" t="s">
        <v>216</v>
      </c>
      <c r="C93" s="1" t="s">
        <v>161</v>
      </c>
      <c r="D93" s="1" t="s">
        <v>26</v>
      </c>
      <c r="E93" s="1" t="s">
        <v>31</v>
      </c>
      <c r="F93" s="2">
        <v>121</v>
      </c>
      <c r="G93" s="1">
        <v>556</v>
      </c>
      <c r="H93" s="1" t="s">
        <v>45</v>
      </c>
      <c r="I93" s="3">
        <v>46160</v>
      </c>
      <c r="J93" s="1">
        <v>0.8</v>
      </c>
      <c r="K93" s="1" t="s">
        <v>19</v>
      </c>
      <c r="L93" s="1" t="s">
        <v>61</v>
      </c>
      <c r="M93" s="1" t="s">
        <v>62</v>
      </c>
      <c r="N93" s="1">
        <v>6.99</v>
      </c>
      <c r="O93" s="1" t="s">
        <v>28</v>
      </c>
    </row>
    <row r="94" spans="1:15">
      <c r="A94" s="1" t="s">
        <v>253</v>
      </c>
      <c r="B94" s="1" t="s">
        <v>196</v>
      </c>
      <c r="C94" s="1" t="s">
        <v>221</v>
      </c>
      <c r="D94" s="1" t="s">
        <v>16</v>
      </c>
      <c r="E94" s="1" t="s">
        <v>142</v>
      </c>
      <c r="F94" s="2">
        <v>132</v>
      </c>
      <c r="G94" s="1">
        <v>608</v>
      </c>
      <c r="H94" s="1" t="s">
        <v>45</v>
      </c>
      <c r="I94" s="3">
        <v>46374</v>
      </c>
      <c r="J94" s="1">
        <v>0.7</v>
      </c>
      <c r="K94" s="1" t="s">
        <v>32</v>
      </c>
      <c r="L94" s="1" t="s">
        <v>76</v>
      </c>
      <c r="M94" s="1" t="s">
        <v>77</v>
      </c>
      <c r="N94" s="1">
        <v>4.26</v>
      </c>
      <c r="O94" s="1" t="s">
        <v>28</v>
      </c>
    </row>
    <row r="95" spans="1:15">
      <c r="A95" s="1" t="s">
        <v>254</v>
      </c>
      <c r="B95" s="1" t="s">
        <v>126</v>
      </c>
      <c r="C95" s="1" t="s">
        <v>255</v>
      </c>
      <c r="D95" s="1" t="s">
        <v>16</v>
      </c>
      <c r="E95" s="1" t="s">
        <v>31</v>
      </c>
      <c r="F95" s="2">
        <v>48</v>
      </c>
      <c r="G95" s="1">
        <v>203</v>
      </c>
      <c r="H95" s="1" t="s">
        <v>38</v>
      </c>
      <c r="I95" s="3">
        <v>46163</v>
      </c>
      <c r="J95" s="1">
        <v>0.6</v>
      </c>
      <c r="K95" s="1" t="s">
        <v>22</v>
      </c>
      <c r="L95" s="1" t="s">
        <v>70</v>
      </c>
      <c r="M95" s="1" t="s">
        <v>71</v>
      </c>
      <c r="N95" s="1">
        <v>4.42</v>
      </c>
      <c r="O95" s="1" t="s">
        <v>47</v>
      </c>
    </row>
    <row r="96" spans="1:15">
      <c r="A96" s="1" t="s">
        <v>256</v>
      </c>
      <c r="B96" s="1" t="s">
        <v>42</v>
      </c>
      <c r="C96" s="1" t="s">
        <v>257</v>
      </c>
      <c r="D96" s="1" t="s">
        <v>16</v>
      </c>
      <c r="E96" s="1" t="s">
        <v>69</v>
      </c>
      <c r="F96" s="2">
        <v>44</v>
      </c>
      <c r="G96" s="1">
        <v>295</v>
      </c>
      <c r="H96" s="1" t="s">
        <v>38</v>
      </c>
      <c r="I96" s="3">
        <v>46363</v>
      </c>
      <c r="J96" s="1">
        <v>0.6</v>
      </c>
      <c r="K96" s="1" t="s">
        <v>32</v>
      </c>
      <c r="L96" s="1" t="s">
        <v>131</v>
      </c>
      <c r="M96" s="1" t="s">
        <v>132</v>
      </c>
      <c r="N96" s="1">
        <v>4.8499999999999996</v>
      </c>
      <c r="O96" s="1" t="s">
        <v>34</v>
      </c>
    </row>
    <row r="97" spans="1:15">
      <c r="A97" s="1" t="s">
        <v>258</v>
      </c>
      <c r="B97" s="1" t="s">
        <v>24</v>
      </c>
      <c r="C97" s="1" t="s">
        <v>247</v>
      </c>
      <c r="D97" s="1" t="s">
        <v>26</v>
      </c>
      <c r="E97" s="1" t="s">
        <v>142</v>
      </c>
      <c r="F97" s="2">
        <v>151</v>
      </c>
      <c r="G97" s="1">
        <v>394</v>
      </c>
      <c r="H97" s="1" t="s">
        <v>45</v>
      </c>
      <c r="I97" s="3">
        <v>46069</v>
      </c>
      <c r="J97" s="1">
        <v>0.4</v>
      </c>
      <c r="K97" s="1" t="s">
        <v>19</v>
      </c>
      <c r="L97" s="1" t="s">
        <v>61</v>
      </c>
      <c r="M97" s="1" t="s">
        <v>62</v>
      </c>
      <c r="N97" s="1">
        <v>1.44</v>
      </c>
      <c r="O97" s="1" t="s">
        <v>47</v>
      </c>
    </row>
    <row r="98" spans="1:15">
      <c r="A98" s="1" t="s">
        <v>259</v>
      </c>
      <c r="B98" s="1" t="s">
        <v>174</v>
      </c>
      <c r="C98" s="1" t="s">
        <v>172</v>
      </c>
      <c r="D98" s="1" t="s">
        <v>16</v>
      </c>
      <c r="E98" s="1" t="s">
        <v>83</v>
      </c>
      <c r="F98" s="2">
        <v>63</v>
      </c>
      <c r="G98" s="1">
        <v>301</v>
      </c>
      <c r="H98" s="1" t="s">
        <v>18</v>
      </c>
      <c r="I98" s="3">
        <v>46179</v>
      </c>
      <c r="J98" s="1">
        <v>0.3</v>
      </c>
      <c r="K98" s="1" t="s">
        <v>19</v>
      </c>
      <c r="L98" s="1" t="s">
        <v>128</v>
      </c>
      <c r="M98" s="1" t="s">
        <v>40</v>
      </c>
      <c r="N98" s="1">
        <v>5.94</v>
      </c>
      <c r="O98" s="1" t="s">
        <v>28</v>
      </c>
    </row>
    <row r="99" spans="1:15">
      <c r="A99" s="1" t="s">
        <v>260</v>
      </c>
      <c r="B99" s="1" t="s">
        <v>261</v>
      </c>
      <c r="C99" s="1" t="s">
        <v>68</v>
      </c>
      <c r="D99" s="1" t="s">
        <v>26</v>
      </c>
      <c r="E99" s="1" t="s">
        <v>83</v>
      </c>
      <c r="F99" s="2">
        <v>111</v>
      </c>
      <c r="G99" s="1">
        <v>191</v>
      </c>
      <c r="H99" s="1" t="s">
        <v>45</v>
      </c>
      <c r="I99" s="3">
        <v>46200</v>
      </c>
      <c r="J99" s="1">
        <v>0.9</v>
      </c>
      <c r="K99" s="1" t="s">
        <v>32</v>
      </c>
      <c r="L99" s="1" t="s">
        <v>39</v>
      </c>
      <c r="M99" s="1" t="s">
        <v>40</v>
      </c>
      <c r="N99" s="1">
        <v>9.6199999999999992</v>
      </c>
      <c r="O99" s="1" t="s">
        <v>34</v>
      </c>
    </row>
    <row r="100" spans="1:15">
      <c r="A100" s="1" t="s">
        <v>262</v>
      </c>
      <c r="B100" s="1" t="s">
        <v>134</v>
      </c>
      <c r="C100" s="1" t="s">
        <v>146</v>
      </c>
      <c r="D100" s="1" t="s">
        <v>26</v>
      </c>
      <c r="E100" s="1" t="s">
        <v>110</v>
      </c>
      <c r="F100" s="2">
        <v>38</v>
      </c>
      <c r="G100" s="1">
        <v>85</v>
      </c>
      <c r="H100" s="1" t="s">
        <v>38</v>
      </c>
      <c r="I100" s="3">
        <v>46098</v>
      </c>
      <c r="J100" s="1">
        <v>0.4</v>
      </c>
      <c r="K100" s="1" t="s">
        <v>32</v>
      </c>
      <c r="L100" s="1" t="s">
        <v>46</v>
      </c>
      <c r="M100" s="1" t="s">
        <v>40</v>
      </c>
      <c r="N100" s="1">
        <v>1.31</v>
      </c>
      <c r="O100" s="1" t="s">
        <v>28</v>
      </c>
    </row>
    <row r="101" spans="1:15">
      <c r="A101" s="1" t="s">
        <v>263</v>
      </c>
      <c r="B101" s="1" t="s">
        <v>264</v>
      </c>
      <c r="C101" s="1" t="s">
        <v>135</v>
      </c>
      <c r="D101" s="1" t="s">
        <v>26</v>
      </c>
      <c r="E101" s="1" t="s">
        <v>83</v>
      </c>
      <c r="F101" s="2">
        <v>70</v>
      </c>
      <c r="G101" s="1">
        <v>719</v>
      </c>
      <c r="H101" s="1" t="s">
        <v>18</v>
      </c>
      <c r="I101" s="3">
        <v>46276</v>
      </c>
      <c r="J101" s="1">
        <v>1</v>
      </c>
      <c r="K101" s="1" t="s">
        <v>32</v>
      </c>
      <c r="L101" s="1" t="s">
        <v>76</v>
      </c>
      <c r="M101" s="1" t="s">
        <v>77</v>
      </c>
      <c r="N101" s="1">
        <v>4.68</v>
      </c>
      <c r="O101" s="1" t="s">
        <v>22</v>
      </c>
    </row>
    <row r="102" spans="1:15">
      <c r="A102" s="1" t="s">
        <v>265</v>
      </c>
      <c r="B102" s="1" t="s">
        <v>59</v>
      </c>
      <c r="C102" s="1" t="s">
        <v>156</v>
      </c>
      <c r="D102" s="1" t="s">
        <v>16</v>
      </c>
      <c r="E102" s="1" t="s">
        <v>51</v>
      </c>
      <c r="F102" s="2">
        <v>153</v>
      </c>
      <c r="G102" s="1">
        <v>865</v>
      </c>
      <c r="H102" s="1" t="s">
        <v>45</v>
      </c>
      <c r="I102" s="3">
        <v>46084</v>
      </c>
      <c r="J102" s="1">
        <v>0.4</v>
      </c>
      <c r="K102" s="1" t="s">
        <v>22</v>
      </c>
      <c r="L102" s="1" t="s">
        <v>106</v>
      </c>
      <c r="M102" s="1" t="s">
        <v>71</v>
      </c>
      <c r="N102" s="1">
        <v>5.44</v>
      </c>
      <c r="O102" s="1" t="s">
        <v>22</v>
      </c>
    </row>
    <row r="103" spans="1:15">
      <c r="A103" s="1" t="s">
        <v>266</v>
      </c>
      <c r="B103" s="1" t="s">
        <v>97</v>
      </c>
      <c r="C103" s="1" t="s">
        <v>87</v>
      </c>
      <c r="D103" s="1" t="s">
        <v>16</v>
      </c>
      <c r="E103" s="1" t="s">
        <v>17</v>
      </c>
      <c r="F103" s="2">
        <v>119</v>
      </c>
      <c r="G103" s="1">
        <v>700</v>
      </c>
      <c r="H103" s="1" t="s">
        <v>45</v>
      </c>
      <c r="I103" s="3">
        <v>46105</v>
      </c>
      <c r="J103" s="1">
        <v>0.4</v>
      </c>
      <c r="K103" s="1" t="s">
        <v>19</v>
      </c>
      <c r="L103" s="1" t="s">
        <v>88</v>
      </c>
      <c r="M103" s="1" t="s">
        <v>89</v>
      </c>
      <c r="N103" s="1">
        <v>3.98</v>
      </c>
      <c r="O103" s="1" t="s">
        <v>34</v>
      </c>
    </row>
    <row r="104" spans="1:15">
      <c r="A104" s="1" t="s">
        <v>267</v>
      </c>
      <c r="B104" s="1" t="s">
        <v>241</v>
      </c>
      <c r="C104" s="1" t="s">
        <v>124</v>
      </c>
      <c r="D104" s="1" t="s">
        <v>16</v>
      </c>
      <c r="E104" s="1" t="s">
        <v>60</v>
      </c>
      <c r="F104" s="2">
        <v>30</v>
      </c>
      <c r="G104" s="1">
        <v>498</v>
      </c>
      <c r="H104" s="1" t="s">
        <v>38</v>
      </c>
      <c r="I104" s="3">
        <v>46145</v>
      </c>
      <c r="J104" s="1">
        <v>0.4</v>
      </c>
      <c r="K104" s="1" t="s">
        <v>19</v>
      </c>
      <c r="L104" s="1" t="s">
        <v>106</v>
      </c>
      <c r="M104" s="1" t="s">
        <v>71</v>
      </c>
      <c r="N104" s="1">
        <v>9.17</v>
      </c>
      <c r="O104" s="1" t="s">
        <v>22</v>
      </c>
    </row>
    <row r="105" spans="1:15">
      <c r="A105" s="1" t="s">
        <v>268</v>
      </c>
      <c r="B105" s="1" t="s">
        <v>24</v>
      </c>
      <c r="C105" s="1" t="s">
        <v>135</v>
      </c>
      <c r="D105" s="1" t="s">
        <v>16</v>
      </c>
      <c r="E105" s="1" t="s">
        <v>105</v>
      </c>
      <c r="F105" s="2">
        <v>176</v>
      </c>
      <c r="G105" s="1">
        <v>441</v>
      </c>
      <c r="H105" s="1" t="s">
        <v>45</v>
      </c>
      <c r="I105" s="3">
        <v>46332</v>
      </c>
      <c r="J105" s="1">
        <v>0.5</v>
      </c>
      <c r="K105" s="1" t="s">
        <v>22</v>
      </c>
      <c r="L105" s="1" t="s">
        <v>39</v>
      </c>
      <c r="M105" s="1" t="s">
        <v>40</v>
      </c>
      <c r="N105" s="1">
        <v>8.7200000000000006</v>
      </c>
      <c r="O105" s="1" t="s">
        <v>47</v>
      </c>
    </row>
    <row r="106" spans="1:15">
      <c r="A106" s="1" t="s">
        <v>269</v>
      </c>
      <c r="B106" s="1" t="s">
        <v>233</v>
      </c>
      <c r="C106" s="1" t="s">
        <v>158</v>
      </c>
      <c r="D106" s="1" t="s">
        <v>26</v>
      </c>
      <c r="E106" s="1" t="s">
        <v>17</v>
      </c>
      <c r="F106" s="2">
        <v>146</v>
      </c>
      <c r="G106" s="1">
        <v>410</v>
      </c>
      <c r="H106" s="1" t="s">
        <v>45</v>
      </c>
      <c r="I106" s="3">
        <v>46377</v>
      </c>
      <c r="J106" s="1">
        <v>0.8</v>
      </c>
      <c r="K106" s="1" t="s">
        <v>32</v>
      </c>
      <c r="L106" s="1" t="s">
        <v>46</v>
      </c>
      <c r="M106" s="1" t="s">
        <v>40</v>
      </c>
      <c r="N106" s="1">
        <v>1.6</v>
      </c>
      <c r="O106" s="1" t="s">
        <v>47</v>
      </c>
    </row>
    <row r="107" spans="1:15">
      <c r="A107" s="1" t="s">
        <v>270</v>
      </c>
      <c r="B107" s="1" t="s">
        <v>249</v>
      </c>
      <c r="C107" s="1" t="s">
        <v>191</v>
      </c>
      <c r="D107" s="1" t="s">
        <v>16</v>
      </c>
      <c r="E107" s="1" t="s">
        <v>31</v>
      </c>
      <c r="F107" s="2">
        <v>173</v>
      </c>
      <c r="G107" s="1">
        <v>802</v>
      </c>
      <c r="H107" s="1" t="s">
        <v>45</v>
      </c>
      <c r="I107" s="3">
        <v>46119</v>
      </c>
      <c r="J107" s="1">
        <v>0.3</v>
      </c>
      <c r="K107" s="1" t="s">
        <v>22</v>
      </c>
      <c r="L107" s="1" t="s">
        <v>88</v>
      </c>
      <c r="M107" s="1" t="s">
        <v>89</v>
      </c>
      <c r="N107" s="1">
        <v>8.51</v>
      </c>
      <c r="O107" s="1" t="s">
        <v>34</v>
      </c>
    </row>
    <row r="108" spans="1:15">
      <c r="A108" s="1" t="s">
        <v>271</v>
      </c>
      <c r="B108" s="1" t="s">
        <v>123</v>
      </c>
      <c r="C108" s="1" t="s">
        <v>15</v>
      </c>
      <c r="D108" s="1" t="s">
        <v>26</v>
      </c>
      <c r="E108" s="1" t="s">
        <v>83</v>
      </c>
      <c r="F108" s="2">
        <v>172</v>
      </c>
      <c r="G108" s="1">
        <v>245</v>
      </c>
      <c r="H108" s="1" t="s">
        <v>45</v>
      </c>
      <c r="I108" s="3">
        <v>46037</v>
      </c>
      <c r="J108" s="1">
        <v>0.9</v>
      </c>
      <c r="K108" s="1" t="s">
        <v>19</v>
      </c>
      <c r="L108" s="1" t="s">
        <v>117</v>
      </c>
      <c r="M108" s="1" t="s">
        <v>118</v>
      </c>
      <c r="N108" s="1">
        <v>0.8</v>
      </c>
      <c r="O108" s="1" t="s">
        <v>22</v>
      </c>
    </row>
    <row r="109" spans="1:15">
      <c r="A109" s="1" t="s">
        <v>272</v>
      </c>
      <c r="B109" s="1" t="s">
        <v>273</v>
      </c>
      <c r="C109" s="1" t="s">
        <v>25</v>
      </c>
      <c r="D109" s="1" t="s">
        <v>16</v>
      </c>
      <c r="E109" s="1" t="s">
        <v>110</v>
      </c>
      <c r="F109" s="2">
        <v>126</v>
      </c>
      <c r="G109" s="1">
        <v>76</v>
      </c>
      <c r="H109" s="1" t="s">
        <v>45</v>
      </c>
      <c r="I109" s="3">
        <v>46095</v>
      </c>
      <c r="J109" s="1">
        <v>0.9</v>
      </c>
      <c r="K109" s="1" t="s">
        <v>32</v>
      </c>
      <c r="L109" s="1" t="s">
        <v>61</v>
      </c>
      <c r="M109" s="1" t="s">
        <v>62</v>
      </c>
      <c r="N109" s="1">
        <v>8.27</v>
      </c>
      <c r="O109" s="1" t="s">
        <v>22</v>
      </c>
    </row>
    <row r="110" spans="1:15">
      <c r="A110" s="1" t="s">
        <v>274</v>
      </c>
      <c r="B110" s="1" t="s">
        <v>275</v>
      </c>
      <c r="C110" s="1" t="s">
        <v>175</v>
      </c>
      <c r="D110" s="1" t="s">
        <v>26</v>
      </c>
      <c r="E110" s="1" t="s">
        <v>69</v>
      </c>
      <c r="F110" s="2">
        <v>138</v>
      </c>
      <c r="G110" s="1">
        <v>440</v>
      </c>
      <c r="H110" s="1" t="s">
        <v>45</v>
      </c>
      <c r="I110" s="3">
        <v>46223</v>
      </c>
      <c r="J110" s="1">
        <v>0.9</v>
      </c>
      <c r="K110" s="1" t="s">
        <v>22</v>
      </c>
      <c r="L110" s="1" t="s">
        <v>46</v>
      </c>
      <c r="M110" s="1" t="s">
        <v>40</v>
      </c>
      <c r="N110" s="1">
        <v>5.62</v>
      </c>
      <c r="O110" s="1" t="s">
        <v>28</v>
      </c>
    </row>
    <row r="111" spans="1:15">
      <c r="A111" s="1" t="s">
        <v>276</v>
      </c>
      <c r="B111" s="1" t="s">
        <v>174</v>
      </c>
      <c r="C111" s="1" t="s">
        <v>277</v>
      </c>
      <c r="D111" s="1" t="s">
        <v>16</v>
      </c>
      <c r="E111" s="1" t="s">
        <v>92</v>
      </c>
      <c r="F111" s="2">
        <v>175</v>
      </c>
      <c r="G111" s="1">
        <v>251</v>
      </c>
      <c r="H111" s="1" t="s">
        <v>45</v>
      </c>
      <c r="I111" s="3">
        <v>46251</v>
      </c>
      <c r="J111" s="1">
        <v>0.6</v>
      </c>
      <c r="K111" s="1" t="s">
        <v>19</v>
      </c>
      <c r="L111" s="1" t="s">
        <v>70</v>
      </c>
      <c r="M111" s="1" t="s">
        <v>71</v>
      </c>
      <c r="N111" s="1">
        <v>1.46</v>
      </c>
      <c r="O111" s="1" t="s">
        <v>34</v>
      </c>
    </row>
    <row r="112" spans="1:15">
      <c r="A112" s="1" t="s">
        <v>278</v>
      </c>
      <c r="B112" s="1" t="s">
        <v>79</v>
      </c>
      <c r="C112" s="1" t="s">
        <v>104</v>
      </c>
      <c r="D112" s="1" t="s">
        <v>26</v>
      </c>
      <c r="E112" s="1" t="s">
        <v>142</v>
      </c>
      <c r="F112" s="2">
        <v>46</v>
      </c>
      <c r="G112" s="1">
        <v>498</v>
      </c>
      <c r="H112" s="1" t="s">
        <v>38</v>
      </c>
      <c r="I112" s="3">
        <v>46336</v>
      </c>
      <c r="J112" s="1">
        <v>0.6</v>
      </c>
      <c r="K112" s="1" t="s">
        <v>22</v>
      </c>
      <c r="L112" s="1" t="s">
        <v>117</v>
      </c>
      <c r="M112" s="1" t="s">
        <v>118</v>
      </c>
      <c r="N112" s="1">
        <v>6.79</v>
      </c>
      <c r="O112" s="1" t="s">
        <v>47</v>
      </c>
    </row>
    <row r="113" spans="1:15">
      <c r="A113" s="1" t="s">
        <v>279</v>
      </c>
      <c r="B113" s="1" t="s">
        <v>280</v>
      </c>
      <c r="C113" s="1" t="s">
        <v>221</v>
      </c>
      <c r="D113" s="1" t="s">
        <v>16</v>
      </c>
      <c r="E113" s="1" t="s">
        <v>92</v>
      </c>
      <c r="F113" s="2">
        <v>150</v>
      </c>
      <c r="G113" s="1">
        <v>986</v>
      </c>
      <c r="H113" s="1" t="s">
        <v>45</v>
      </c>
      <c r="I113" s="3">
        <v>46191</v>
      </c>
      <c r="J113" s="1">
        <v>0.8</v>
      </c>
      <c r="K113" s="1" t="s">
        <v>32</v>
      </c>
      <c r="L113" s="1" t="s">
        <v>20</v>
      </c>
      <c r="M113" s="1" t="s">
        <v>21</v>
      </c>
      <c r="N113" s="1">
        <v>7.14</v>
      </c>
      <c r="O113" s="1" t="s">
        <v>47</v>
      </c>
    </row>
    <row r="114" spans="1:15">
      <c r="A114" s="1" t="s">
        <v>281</v>
      </c>
      <c r="B114" s="1" t="s">
        <v>218</v>
      </c>
      <c r="C114" s="1" t="s">
        <v>54</v>
      </c>
      <c r="D114" s="1" t="s">
        <v>26</v>
      </c>
      <c r="E114" s="1" t="s">
        <v>27</v>
      </c>
      <c r="F114" s="2">
        <v>154</v>
      </c>
      <c r="G114" s="1">
        <v>514</v>
      </c>
      <c r="H114" s="1" t="s">
        <v>45</v>
      </c>
      <c r="I114" s="3">
        <v>46243</v>
      </c>
      <c r="J114" s="1">
        <v>0.8</v>
      </c>
      <c r="K114" s="1" t="s">
        <v>22</v>
      </c>
      <c r="L114" s="1" t="s">
        <v>39</v>
      </c>
      <c r="M114" s="1" t="s">
        <v>40</v>
      </c>
      <c r="N114" s="1">
        <v>7.56</v>
      </c>
      <c r="O114" s="1" t="s">
        <v>34</v>
      </c>
    </row>
    <row r="115" spans="1:15">
      <c r="A115" s="1" t="s">
        <v>282</v>
      </c>
      <c r="B115" s="1" t="s">
        <v>14</v>
      </c>
      <c r="C115" s="1" t="s">
        <v>37</v>
      </c>
      <c r="D115" s="1" t="s">
        <v>26</v>
      </c>
      <c r="E115" s="1" t="s">
        <v>101</v>
      </c>
      <c r="F115" s="2">
        <v>100</v>
      </c>
      <c r="G115" s="1">
        <v>463</v>
      </c>
      <c r="H115" s="1" t="s">
        <v>45</v>
      </c>
      <c r="I115" s="3">
        <v>46303</v>
      </c>
      <c r="J115" s="1">
        <v>0.6</v>
      </c>
      <c r="K115" s="1" t="s">
        <v>22</v>
      </c>
      <c r="L115" s="1" t="s">
        <v>106</v>
      </c>
      <c r="M115" s="1" t="s">
        <v>71</v>
      </c>
      <c r="N115" s="1">
        <v>2.48</v>
      </c>
      <c r="O115" s="1" t="s">
        <v>47</v>
      </c>
    </row>
    <row r="116" spans="1:15">
      <c r="A116" s="1" t="s">
        <v>283</v>
      </c>
      <c r="B116" s="1" t="s">
        <v>198</v>
      </c>
      <c r="C116" s="1" t="s">
        <v>135</v>
      </c>
      <c r="D116" s="1" t="s">
        <v>16</v>
      </c>
      <c r="E116" s="1" t="s">
        <v>92</v>
      </c>
      <c r="F116" s="2">
        <v>74</v>
      </c>
      <c r="G116" s="1">
        <v>659</v>
      </c>
      <c r="H116" s="1" t="s">
        <v>18</v>
      </c>
      <c r="I116" s="3">
        <v>46167</v>
      </c>
      <c r="J116" s="1">
        <v>0.4</v>
      </c>
      <c r="K116" s="1" t="s">
        <v>32</v>
      </c>
      <c r="L116" s="1" t="s">
        <v>131</v>
      </c>
      <c r="M116" s="1" t="s">
        <v>132</v>
      </c>
      <c r="N116" s="1">
        <v>9.24</v>
      </c>
      <c r="O116" s="1" t="s">
        <v>28</v>
      </c>
    </row>
    <row r="117" spans="1:15">
      <c r="A117" s="1" t="s">
        <v>284</v>
      </c>
      <c r="B117" s="1" t="s">
        <v>141</v>
      </c>
      <c r="C117" s="1" t="s">
        <v>95</v>
      </c>
      <c r="D117" s="1" t="s">
        <v>26</v>
      </c>
      <c r="E117" s="1" t="s">
        <v>83</v>
      </c>
      <c r="F117" s="2">
        <v>100</v>
      </c>
      <c r="G117" s="1">
        <v>649</v>
      </c>
      <c r="H117" s="1" t="s">
        <v>45</v>
      </c>
      <c r="I117" s="3">
        <v>46027</v>
      </c>
      <c r="J117" s="1">
        <v>0.7</v>
      </c>
      <c r="K117" s="1" t="s">
        <v>32</v>
      </c>
      <c r="L117" s="1" t="s">
        <v>56</v>
      </c>
      <c r="M117" s="1" t="s">
        <v>57</v>
      </c>
      <c r="N117" s="1">
        <v>2.93</v>
      </c>
      <c r="O117" s="1" t="s">
        <v>22</v>
      </c>
    </row>
    <row r="118" spans="1:15">
      <c r="A118" s="1" t="s">
        <v>285</v>
      </c>
      <c r="B118" s="1" t="s">
        <v>36</v>
      </c>
      <c r="C118" s="1" t="s">
        <v>68</v>
      </c>
      <c r="D118" s="1" t="s">
        <v>16</v>
      </c>
      <c r="E118" s="1" t="s">
        <v>110</v>
      </c>
      <c r="F118" s="2">
        <v>108</v>
      </c>
      <c r="G118" s="1">
        <v>512</v>
      </c>
      <c r="H118" s="1" t="s">
        <v>45</v>
      </c>
      <c r="I118" s="3">
        <v>46176</v>
      </c>
      <c r="J118" s="1">
        <v>0.6</v>
      </c>
      <c r="K118" s="1" t="s">
        <v>32</v>
      </c>
      <c r="L118" s="1" t="s">
        <v>76</v>
      </c>
      <c r="M118" s="1" t="s">
        <v>77</v>
      </c>
      <c r="N118" s="1">
        <v>9.43</v>
      </c>
      <c r="O118" s="1" t="s">
        <v>47</v>
      </c>
    </row>
    <row r="119" spans="1:15">
      <c r="A119" s="1" t="s">
        <v>286</v>
      </c>
      <c r="B119" s="1" t="s">
        <v>112</v>
      </c>
      <c r="C119" s="1" t="s">
        <v>127</v>
      </c>
      <c r="D119" s="1" t="s">
        <v>16</v>
      </c>
      <c r="E119" s="1" t="s">
        <v>55</v>
      </c>
      <c r="F119" s="2">
        <v>133</v>
      </c>
      <c r="G119" s="1">
        <v>980</v>
      </c>
      <c r="H119" s="1" t="s">
        <v>45</v>
      </c>
      <c r="I119" s="3">
        <v>46304</v>
      </c>
      <c r="J119" s="1">
        <v>1</v>
      </c>
      <c r="K119" s="1" t="s">
        <v>19</v>
      </c>
      <c r="L119" s="1" t="s">
        <v>84</v>
      </c>
      <c r="M119" s="1">
        <v>6.6</v>
      </c>
      <c r="N119" s="1" t="s">
        <v>47</v>
      </c>
      <c r="O119" s="1"/>
    </row>
    <row r="120" spans="1:15">
      <c r="A120" s="1" t="s">
        <v>287</v>
      </c>
      <c r="B120" s="1" t="s">
        <v>103</v>
      </c>
      <c r="C120" s="1" t="s">
        <v>288</v>
      </c>
      <c r="D120" s="1" t="s">
        <v>26</v>
      </c>
      <c r="E120" s="1" t="s">
        <v>44</v>
      </c>
      <c r="F120" s="2">
        <v>46</v>
      </c>
      <c r="G120" s="1">
        <v>460</v>
      </c>
      <c r="H120" s="1" t="s">
        <v>38</v>
      </c>
      <c r="I120" s="3">
        <v>46282</v>
      </c>
      <c r="J120" s="1">
        <v>0.7</v>
      </c>
      <c r="K120" s="1" t="s">
        <v>22</v>
      </c>
      <c r="L120" s="1" t="s">
        <v>131</v>
      </c>
      <c r="M120" s="1" t="s">
        <v>132</v>
      </c>
      <c r="N120" s="1">
        <v>3.05</v>
      </c>
      <c r="O120" s="1" t="s">
        <v>22</v>
      </c>
    </row>
    <row r="121" spans="1:15">
      <c r="A121" s="1" t="s">
        <v>289</v>
      </c>
      <c r="B121" s="1" t="s">
        <v>290</v>
      </c>
      <c r="C121" s="1" t="s">
        <v>178</v>
      </c>
      <c r="D121" s="1" t="s">
        <v>16</v>
      </c>
      <c r="E121" s="1" t="s">
        <v>110</v>
      </c>
      <c r="F121" s="2">
        <v>178</v>
      </c>
      <c r="G121" s="1">
        <v>35</v>
      </c>
      <c r="H121" s="1" t="s">
        <v>45</v>
      </c>
      <c r="I121" s="3">
        <v>46373</v>
      </c>
      <c r="J121" s="1">
        <v>0.4</v>
      </c>
      <c r="K121" s="1" t="s">
        <v>22</v>
      </c>
      <c r="L121" s="1" t="s">
        <v>131</v>
      </c>
      <c r="M121" s="1" t="s">
        <v>132</v>
      </c>
      <c r="N121" s="1">
        <v>1.47</v>
      </c>
      <c r="O121" s="1" t="s">
        <v>22</v>
      </c>
    </row>
    <row r="122" spans="1:15">
      <c r="A122" s="1" t="s">
        <v>291</v>
      </c>
      <c r="B122" s="1" t="s">
        <v>108</v>
      </c>
      <c r="C122" s="1" t="s">
        <v>25</v>
      </c>
      <c r="D122" s="1" t="s">
        <v>16</v>
      </c>
      <c r="E122" s="1" t="s">
        <v>17</v>
      </c>
      <c r="F122" s="2">
        <v>66</v>
      </c>
      <c r="G122" s="1">
        <v>876</v>
      </c>
      <c r="H122" s="1" t="s">
        <v>18</v>
      </c>
      <c r="I122" s="3">
        <v>46144</v>
      </c>
      <c r="J122" s="1">
        <v>0.5</v>
      </c>
      <c r="K122" s="1" t="s">
        <v>19</v>
      </c>
      <c r="L122" s="1" t="s">
        <v>61</v>
      </c>
      <c r="M122" s="1" t="s">
        <v>62</v>
      </c>
      <c r="N122" s="1">
        <v>8.3699999999999992</v>
      </c>
      <c r="O122" s="1" t="s">
        <v>47</v>
      </c>
    </row>
    <row r="123" spans="1:15">
      <c r="A123" s="1" t="s">
        <v>292</v>
      </c>
      <c r="B123" s="1" t="s">
        <v>53</v>
      </c>
      <c r="C123" s="1" t="s">
        <v>293</v>
      </c>
      <c r="D123" s="1" t="s">
        <v>16</v>
      </c>
      <c r="E123" s="1" t="s">
        <v>75</v>
      </c>
      <c r="F123" s="2">
        <v>165</v>
      </c>
      <c r="G123" s="1">
        <v>454</v>
      </c>
      <c r="H123" s="1" t="s">
        <v>45</v>
      </c>
      <c r="I123" s="3">
        <v>46270</v>
      </c>
      <c r="J123" s="1">
        <v>0.7</v>
      </c>
      <c r="K123" s="1" t="s">
        <v>19</v>
      </c>
      <c r="L123" s="1" t="s">
        <v>76</v>
      </c>
      <c r="M123" s="1" t="s">
        <v>77</v>
      </c>
      <c r="N123" s="1">
        <v>4.49</v>
      </c>
      <c r="O123" s="1" t="s">
        <v>28</v>
      </c>
    </row>
    <row r="124" spans="1:15">
      <c r="A124" s="1" t="s">
        <v>294</v>
      </c>
      <c r="B124" s="1" t="s">
        <v>64</v>
      </c>
      <c r="C124" s="1" t="s">
        <v>165</v>
      </c>
      <c r="D124" s="1" t="s">
        <v>26</v>
      </c>
      <c r="E124" s="1" t="s">
        <v>83</v>
      </c>
      <c r="F124" s="2">
        <v>175</v>
      </c>
      <c r="G124" s="1">
        <v>716</v>
      </c>
      <c r="H124" s="1" t="s">
        <v>45</v>
      </c>
      <c r="I124" s="3">
        <v>46379</v>
      </c>
      <c r="J124" s="1">
        <v>0.4</v>
      </c>
      <c r="K124" s="1" t="s">
        <v>22</v>
      </c>
      <c r="L124" s="1" t="s">
        <v>131</v>
      </c>
      <c r="M124" s="1" t="s">
        <v>132</v>
      </c>
      <c r="N124" s="1">
        <v>2.37</v>
      </c>
      <c r="O124" s="1" t="s">
        <v>47</v>
      </c>
    </row>
    <row r="125" spans="1:15">
      <c r="A125" s="1" t="s">
        <v>295</v>
      </c>
      <c r="B125" s="1" t="s">
        <v>174</v>
      </c>
      <c r="C125" s="1" t="s">
        <v>25</v>
      </c>
      <c r="D125" s="1" t="s">
        <v>16</v>
      </c>
      <c r="E125" s="1" t="s">
        <v>31</v>
      </c>
      <c r="F125" s="2">
        <v>170</v>
      </c>
      <c r="G125" s="1">
        <v>357</v>
      </c>
      <c r="H125" s="1" t="s">
        <v>45</v>
      </c>
      <c r="I125" s="3">
        <v>46258</v>
      </c>
      <c r="J125" s="1">
        <v>1</v>
      </c>
      <c r="K125" s="1" t="s">
        <v>22</v>
      </c>
      <c r="L125" s="1" t="s">
        <v>70</v>
      </c>
      <c r="M125" s="1" t="s">
        <v>71</v>
      </c>
      <c r="N125" s="1">
        <v>0.81</v>
      </c>
      <c r="O125" s="1" t="s">
        <v>34</v>
      </c>
    </row>
    <row r="126" spans="1:15">
      <c r="A126" s="1" t="s">
        <v>296</v>
      </c>
      <c r="B126" s="1" t="s">
        <v>123</v>
      </c>
      <c r="C126" s="1" t="s">
        <v>175</v>
      </c>
      <c r="D126" s="1" t="s">
        <v>26</v>
      </c>
      <c r="E126" s="1" t="s">
        <v>17</v>
      </c>
      <c r="F126" s="2">
        <v>129</v>
      </c>
      <c r="G126" s="1">
        <v>655</v>
      </c>
      <c r="H126" s="1" t="s">
        <v>45</v>
      </c>
      <c r="I126" s="3">
        <v>46222</v>
      </c>
      <c r="J126" s="1">
        <v>0.6</v>
      </c>
      <c r="K126" s="1" t="s">
        <v>32</v>
      </c>
      <c r="L126" s="1" t="s">
        <v>56</v>
      </c>
      <c r="M126" s="1" t="s">
        <v>57</v>
      </c>
      <c r="N126" s="1">
        <v>3.57</v>
      </c>
      <c r="O126" s="1" t="s">
        <v>28</v>
      </c>
    </row>
    <row r="127" spans="1:15">
      <c r="A127" s="1" t="s">
        <v>297</v>
      </c>
      <c r="B127" s="1" t="s">
        <v>94</v>
      </c>
      <c r="C127" s="1" t="s">
        <v>116</v>
      </c>
      <c r="D127" s="1" t="s">
        <v>26</v>
      </c>
      <c r="E127" s="1" t="s">
        <v>69</v>
      </c>
      <c r="F127" s="2">
        <v>36</v>
      </c>
      <c r="G127" s="1">
        <v>639</v>
      </c>
      <c r="H127" s="1" t="s">
        <v>38</v>
      </c>
      <c r="I127" s="3">
        <v>46213</v>
      </c>
      <c r="J127" s="1">
        <v>0.8</v>
      </c>
      <c r="K127" s="1" t="s">
        <v>22</v>
      </c>
      <c r="L127" s="1" t="s">
        <v>61</v>
      </c>
      <c r="M127" s="1" t="s">
        <v>62</v>
      </c>
      <c r="N127" s="1">
        <v>8.2899999999999991</v>
      </c>
      <c r="O127" s="1" t="s">
        <v>34</v>
      </c>
    </row>
    <row r="128" spans="1:15">
      <c r="A128" s="1" t="s">
        <v>298</v>
      </c>
      <c r="B128" s="1" t="s">
        <v>30</v>
      </c>
      <c r="C128" s="1" t="s">
        <v>163</v>
      </c>
      <c r="D128" s="1" t="s">
        <v>26</v>
      </c>
      <c r="E128" s="1" t="s">
        <v>101</v>
      </c>
      <c r="F128" s="2">
        <v>88</v>
      </c>
      <c r="G128" s="1">
        <v>159</v>
      </c>
      <c r="H128" s="1" t="s">
        <v>18</v>
      </c>
      <c r="I128" s="3">
        <v>46206</v>
      </c>
      <c r="J128" s="1">
        <v>0.7</v>
      </c>
      <c r="K128" s="1" t="s">
        <v>19</v>
      </c>
      <c r="L128" s="1" t="s">
        <v>88</v>
      </c>
      <c r="M128" s="1" t="s">
        <v>89</v>
      </c>
      <c r="N128" s="1">
        <v>5.13</v>
      </c>
      <c r="O128" s="1" t="s">
        <v>34</v>
      </c>
    </row>
    <row r="129" spans="1:15">
      <c r="A129" s="1" t="s">
        <v>299</v>
      </c>
      <c r="B129" s="1" t="s">
        <v>290</v>
      </c>
      <c r="C129" s="1" t="s">
        <v>144</v>
      </c>
      <c r="D129" s="1" t="s">
        <v>16</v>
      </c>
      <c r="E129" s="1" t="s">
        <v>51</v>
      </c>
      <c r="F129" s="2">
        <v>159</v>
      </c>
      <c r="G129" s="1">
        <v>394</v>
      </c>
      <c r="H129" s="1" t="s">
        <v>45</v>
      </c>
      <c r="I129" s="3">
        <v>46083</v>
      </c>
      <c r="J129" s="1">
        <v>0.4</v>
      </c>
      <c r="K129" s="1" t="s">
        <v>19</v>
      </c>
      <c r="L129" s="1" t="s">
        <v>106</v>
      </c>
      <c r="M129" s="1" t="s">
        <v>71</v>
      </c>
      <c r="N129" s="1">
        <v>0.63</v>
      </c>
      <c r="O129" s="1" t="s">
        <v>34</v>
      </c>
    </row>
    <row r="130" spans="1:15">
      <c r="A130" s="1" t="s">
        <v>300</v>
      </c>
      <c r="B130" s="1" t="s">
        <v>120</v>
      </c>
      <c r="C130" s="1" t="s">
        <v>87</v>
      </c>
      <c r="D130" s="1" t="s">
        <v>26</v>
      </c>
      <c r="E130" s="1" t="s">
        <v>75</v>
      </c>
      <c r="F130" s="2">
        <v>95</v>
      </c>
      <c r="G130" s="1">
        <v>75</v>
      </c>
      <c r="H130" s="1" t="s">
        <v>18</v>
      </c>
      <c r="I130" s="3">
        <v>46166</v>
      </c>
      <c r="J130" s="1">
        <v>0.9</v>
      </c>
      <c r="K130" s="1" t="s">
        <v>32</v>
      </c>
      <c r="L130" s="1" t="s">
        <v>106</v>
      </c>
      <c r="M130" s="1" t="s">
        <v>71</v>
      </c>
      <c r="N130" s="1">
        <v>2.14</v>
      </c>
      <c r="O130" s="1" t="s">
        <v>47</v>
      </c>
    </row>
    <row r="131" spans="1:15">
      <c r="A131" s="1" t="s">
        <v>301</v>
      </c>
      <c r="B131" s="1" t="s">
        <v>112</v>
      </c>
      <c r="C131" s="1" t="s">
        <v>87</v>
      </c>
      <c r="D131" s="1" t="s">
        <v>16</v>
      </c>
      <c r="E131" s="1" t="s">
        <v>44</v>
      </c>
      <c r="F131" s="2">
        <v>38</v>
      </c>
      <c r="G131" s="1">
        <v>742</v>
      </c>
      <c r="H131" s="1" t="s">
        <v>38</v>
      </c>
      <c r="I131" s="3">
        <v>46310</v>
      </c>
      <c r="J131" s="1">
        <v>0.6</v>
      </c>
      <c r="K131" s="1" t="s">
        <v>19</v>
      </c>
      <c r="L131" s="1" t="s">
        <v>46</v>
      </c>
      <c r="M131" s="1" t="s">
        <v>40</v>
      </c>
      <c r="N131" s="1">
        <v>1.51</v>
      </c>
      <c r="O131" s="1" t="s">
        <v>34</v>
      </c>
    </row>
    <row r="132" spans="1:15">
      <c r="A132" s="1" t="s">
        <v>302</v>
      </c>
      <c r="B132" s="1" t="s">
        <v>220</v>
      </c>
      <c r="C132" s="1" t="s">
        <v>144</v>
      </c>
      <c r="D132" s="1" t="s">
        <v>16</v>
      </c>
      <c r="E132" s="1" t="s">
        <v>101</v>
      </c>
      <c r="F132" s="2">
        <v>144</v>
      </c>
      <c r="G132" s="1">
        <v>164</v>
      </c>
      <c r="H132" s="1" t="s">
        <v>45</v>
      </c>
      <c r="I132" s="3">
        <v>46387</v>
      </c>
      <c r="J132" s="1">
        <v>0.7</v>
      </c>
      <c r="K132" s="1" t="s">
        <v>22</v>
      </c>
      <c r="L132" s="1" t="s">
        <v>147</v>
      </c>
      <c r="M132" s="1" t="s">
        <v>148</v>
      </c>
      <c r="N132" s="1">
        <v>7.94</v>
      </c>
      <c r="O132" s="1" t="s">
        <v>47</v>
      </c>
    </row>
    <row r="133" spans="1:15">
      <c r="A133" s="1" t="s">
        <v>303</v>
      </c>
      <c r="B133" s="1" t="s">
        <v>196</v>
      </c>
      <c r="C133" s="1" t="s">
        <v>202</v>
      </c>
      <c r="D133" s="1" t="s">
        <v>26</v>
      </c>
      <c r="E133" s="1" t="s">
        <v>60</v>
      </c>
      <c r="F133" s="2">
        <v>171</v>
      </c>
      <c r="G133" s="1">
        <v>961</v>
      </c>
      <c r="H133" s="1" t="s">
        <v>45</v>
      </c>
      <c r="I133" s="3">
        <v>46375</v>
      </c>
      <c r="J133" s="1">
        <v>0.5</v>
      </c>
      <c r="K133" s="1" t="s">
        <v>19</v>
      </c>
      <c r="L133" s="1" t="s">
        <v>61</v>
      </c>
      <c r="M133" s="1" t="s">
        <v>62</v>
      </c>
      <c r="N133" s="1">
        <v>3.44</v>
      </c>
      <c r="O133" s="1" t="s">
        <v>47</v>
      </c>
    </row>
    <row r="134" spans="1:15">
      <c r="A134" s="1" t="s">
        <v>304</v>
      </c>
      <c r="B134" s="1" t="s">
        <v>67</v>
      </c>
      <c r="C134" s="1" t="s">
        <v>25</v>
      </c>
      <c r="D134" s="1" t="s">
        <v>16</v>
      </c>
      <c r="E134" s="1" t="s">
        <v>110</v>
      </c>
      <c r="F134" s="2">
        <v>154</v>
      </c>
      <c r="G134" s="1">
        <v>770</v>
      </c>
      <c r="H134" s="1" t="s">
        <v>45</v>
      </c>
      <c r="I134" s="3">
        <v>46223</v>
      </c>
      <c r="J134" s="1">
        <v>0.5</v>
      </c>
      <c r="K134" s="1" t="s">
        <v>32</v>
      </c>
      <c r="L134" s="1" t="s">
        <v>147</v>
      </c>
      <c r="M134" s="1" t="s">
        <v>148</v>
      </c>
      <c r="N134" s="1">
        <v>9.7200000000000006</v>
      </c>
      <c r="O134" s="1" t="s">
        <v>28</v>
      </c>
    </row>
    <row r="135" spans="1:15">
      <c r="A135" s="1" t="s">
        <v>305</v>
      </c>
      <c r="B135" s="1" t="s">
        <v>178</v>
      </c>
      <c r="C135" s="1" t="s">
        <v>168</v>
      </c>
      <c r="D135" s="1" t="s">
        <v>16</v>
      </c>
      <c r="E135" s="1" t="s">
        <v>83</v>
      </c>
      <c r="F135" s="2">
        <v>43</v>
      </c>
      <c r="G135" s="1">
        <v>477</v>
      </c>
      <c r="H135" s="1" t="s">
        <v>38</v>
      </c>
      <c r="I135" s="3">
        <v>46268</v>
      </c>
      <c r="J135" s="1">
        <v>0.7</v>
      </c>
      <c r="K135" s="1" t="s">
        <v>19</v>
      </c>
      <c r="L135" s="1" t="s">
        <v>39</v>
      </c>
      <c r="M135" s="1" t="s">
        <v>40</v>
      </c>
      <c r="N135" s="1">
        <v>1.33</v>
      </c>
      <c r="O135" s="1" t="s">
        <v>47</v>
      </c>
    </row>
    <row r="136" spans="1:15">
      <c r="A136" s="1" t="s">
        <v>306</v>
      </c>
      <c r="B136" s="1" t="s">
        <v>108</v>
      </c>
      <c r="C136" s="1" t="s">
        <v>116</v>
      </c>
      <c r="D136" s="1" t="s">
        <v>26</v>
      </c>
      <c r="E136" s="1" t="s">
        <v>60</v>
      </c>
      <c r="F136" s="2">
        <v>91</v>
      </c>
      <c r="G136" s="1">
        <v>86</v>
      </c>
      <c r="H136" s="1" t="s">
        <v>18</v>
      </c>
      <c r="I136" s="3">
        <v>46291</v>
      </c>
      <c r="J136" s="1">
        <v>0.4</v>
      </c>
      <c r="K136" s="1" t="s">
        <v>22</v>
      </c>
      <c r="L136" s="1" t="s">
        <v>56</v>
      </c>
      <c r="M136" s="1" t="s">
        <v>57</v>
      </c>
      <c r="N136" s="1">
        <v>9.08</v>
      </c>
      <c r="O136" s="1" t="s">
        <v>34</v>
      </c>
    </row>
    <row r="137" spans="1:15">
      <c r="A137" s="1" t="s">
        <v>307</v>
      </c>
      <c r="B137" s="1" t="s">
        <v>141</v>
      </c>
      <c r="C137" s="1" t="s">
        <v>184</v>
      </c>
      <c r="D137" s="1" t="s">
        <v>16</v>
      </c>
      <c r="E137" s="1" t="s">
        <v>44</v>
      </c>
      <c r="F137" s="2">
        <v>100</v>
      </c>
      <c r="G137" s="1">
        <v>759</v>
      </c>
      <c r="H137" s="1" t="s">
        <v>45</v>
      </c>
      <c r="I137" s="3">
        <v>46192</v>
      </c>
      <c r="J137" s="1">
        <v>0.6</v>
      </c>
      <c r="K137" s="1" t="s">
        <v>32</v>
      </c>
      <c r="L137" s="1" t="s">
        <v>128</v>
      </c>
      <c r="M137" s="1" t="s">
        <v>40</v>
      </c>
      <c r="N137" s="1">
        <v>6.26</v>
      </c>
      <c r="O137" s="1" t="s">
        <v>22</v>
      </c>
    </row>
    <row r="138" spans="1:15">
      <c r="A138" s="1" t="s">
        <v>308</v>
      </c>
      <c r="B138" s="1" t="s">
        <v>130</v>
      </c>
      <c r="C138" s="1" t="s">
        <v>50</v>
      </c>
      <c r="D138" s="1" t="s">
        <v>16</v>
      </c>
      <c r="E138" s="1" t="s">
        <v>101</v>
      </c>
      <c r="F138" s="2">
        <v>82</v>
      </c>
      <c r="G138" s="1">
        <v>50</v>
      </c>
      <c r="H138" s="1" t="s">
        <v>18</v>
      </c>
      <c r="I138" s="3">
        <v>46142</v>
      </c>
      <c r="J138" s="1">
        <v>0.9</v>
      </c>
      <c r="K138" s="1" t="s">
        <v>22</v>
      </c>
      <c r="L138" s="1" t="s">
        <v>88</v>
      </c>
      <c r="M138" s="1" t="s">
        <v>89</v>
      </c>
      <c r="N138" s="1">
        <v>3.39</v>
      </c>
      <c r="O138" s="1" t="s">
        <v>22</v>
      </c>
    </row>
    <row r="139" spans="1:15">
      <c r="A139" s="1" t="s">
        <v>309</v>
      </c>
      <c r="B139" s="1" t="s">
        <v>134</v>
      </c>
      <c r="C139" s="1" t="s">
        <v>189</v>
      </c>
      <c r="D139" s="1" t="s">
        <v>16</v>
      </c>
      <c r="E139" s="1" t="s">
        <v>60</v>
      </c>
      <c r="F139" s="2">
        <v>38</v>
      </c>
      <c r="G139" s="1">
        <v>727</v>
      </c>
      <c r="H139" s="1" t="s">
        <v>38</v>
      </c>
      <c r="I139" s="3">
        <v>46163</v>
      </c>
      <c r="J139" s="1">
        <v>0.7</v>
      </c>
      <c r="K139" s="1" t="s">
        <v>19</v>
      </c>
      <c r="L139" s="1" t="s">
        <v>131</v>
      </c>
      <c r="M139" s="1" t="s">
        <v>132</v>
      </c>
      <c r="N139" s="1">
        <v>5.69</v>
      </c>
      <c r="O139" s="1" t="s">
        <v>34</v>
      </c>
    </row>
    <row r="140" spans="1:15">
      <c r="A140" s="1" t="s">
        <v>310</v>
      </c>
      <c r="B140" s="1" t="s">
        <v>218</v>
      </c>
      <c r="C140" s="1" t="s">
        <v>255</v>
      </c>
      <c r="D140" s="1" t="s">
        <v>26</v>
      </c>
      <c r="E140" s="1" t="s">
        <v>17</v>
      </c>
      <c r="F140" s="2">
        <v>37</v>
      </c>
      <c r="G140" s="1">
        <v>148</v>
      </c>
      <c r="H140" s="1" t="s">
        <v>38</v>
      </c>
      <c r="I140" s="3">
        <v>46054</v>
      </c>
      <c r="J140" s="1">
        <v>0.5</v>
      </c>
      <c r="K140" s="1" t="s">
        <v>19</v>
      </c>
      <c r="L140" s="1" t="s">
        <v>70</v>
      </c>
      <c r="M140" s="1" t="s">
        <v>71</v>
      </c>
      <c r="N140" s="1">
        <v>8.64</v>
      </c>
      <c r="O140" s="1" t="s">
        <v>28</v>
      </c>
    </row>
    <row r="141" spans="1:15">
      <c r="A141" s="1" t="s">
        <v>311</v>
      </c>
      <c r="B141" s="1" t="s">
        <v>103</v>
      </c>
      <c r="C141" s="1" t="s">
        <v>74</v>
      </c>
      <c r="D141" s="1" t="s">
        <v>26</v>
      </c>
      <c r="E141" s="1" t="s">
        <v>17</v>
      </c>
      <c r="F141" s="2">
        <v>28</v>
      </c>
      <c r="G141" s="1">
        <v>549</v>
      </c>
      <c r="H141" s="1" t="s">
        <v>38</v>
      </c>
      <c r="I141" s="3">
        <v>46098</v>
      </c>
      <c r="J141" s="1">
        <v>0.8</v>
      </c>
      <c r="K141" s="1" t="s">
        <v>19</v>
      </c>
      <c r="L141" s="1" t="s">
        <v>117</v>
      </c>
      <c r="M141" s="1" t="s">
        <v>118</v>
      </c>
      <c r="N141" s="1">
        <v>1.78</v>
      </c>
      <c r="O141" s="1" t="s">
        <v>28</v>
      </c>
    </row>
    <row r="142" spans="1:15">
      <c r="A142" s="1" t="s">
        <v>312</v>
      </c>
      <c r="B142" s="1" t="s">
        <v>150</v>
      </c>
      <c r="C142" s="1" t="s">
        <v>121</v>
      </c>
      <c r="D142" s="1" t="s">
        <v>16</v>
      </c>
      <c r="E142" s="1" t="s">
        <v>92</v>
      </c>
      <c r="F142" s="2">
        <v>123</v>
      </c>
      <c r="G142" s="1">
        <v>398</v>
      </c>
      <c r="H142" s="1" t="s">
        <v>45</v>
      </c>
      <c r="I142" s="3">
        <v>46341</v>
      </c>
      <c r="J142" s="1">
        <v>0.6</v>
      </c>
      <c r="K142" s="1" t="s">
        <v>32</v>
      </c>
      <c r="L142" s="1" t="s">
        <v>117</v>
      </c>
      <c r="M142" s="1" t="s">
        <v>118</v>
      </c>
      <c r="N142" s="1">
        <v>7.06</v>
      </c>
      <c r="O142" s="1" t="s">
        <v>22</v>
      </c>
    </row>
    <row r="143" spans="1:15">
      <c r="A143" s="1" t="s">
        <v>313</v>
      </c>
      <c r="B143" s="1" t="s">
        <v>97</v>
      </c>
      <c r="C143" s="1" t="s">
        <v>124</v>
      </c>
      <c r="D143" s="1" t="s">
        <v>26</v>
      </c>
      <c r="E143" s="1" t="s">
        <v>83</v>
      </c>
      <c r="F143" s="2">
        <v>98</v>
      </c>
      <c r="G143" s="1">
        <v>90</v>
      </c>
      <c r="H143" s="1" t="s">
        <v>18</v>
      </c>
      <c r="I143" s="3">
        <v>46168</v>
      </c>
      <c r="J143" s="1">
        <v>0.3</v>
      </c>
      <c r="K143" s="1" t="s">
        <v>19</v>
      </c>
      <c r="L143" s="1" t="s">
        <v>33</v>
      </c>
      <c r="M143" s="1">
        <v>4.03</v>
      </c>
      <c r="N143" s="1" t="s">
        <v>28</v>
      </c>
      <c r="O143" s="1"/>
    </row>
    <row r="144" spans="1:15">
      <c r="A144" s="1" t="s">
        <v>314</v>
      </c>
      <c r="B144" s="1" t="s">
        <v>220</v>
      </c>
      <c r="C144" s="1" t="s">
        <v>184</v>
      </c>
      <c r="D144" s="1" t="s">
        <v>26</v>
      </c>
      <c r="E144" s="1" t="s">
        <v>142</v>
      </c>
      <c r="F144" s="2">
        <v>118</v>
      </c>
      <c r="G144" s="1">
        <v>325</v>
      </c>
      <c r="H144" s="1" t="s">
        <v>45</v>
      </c>
      <c r="I144" s="3">
        <v>46031</v>
      </c>
      <c r="J144" s="1">
        <v>0.6</v>
      </c>
      <c r="K144" s="1" t="s">
        <v>32</v>
      </c>
      <c r="L144" s="1" t="s">
        <v>56</v>
      </c>
      <c r="M144" s="1" t="s">
        <v>57</v>
      </c>
      <c r="N144" s="1">
        <v>4.37</v>
      </c>
      <c r="O144" s="1" t="s">
        <v>28</v>
      </c>
    </row>
    <row r="145" spans="1:15">
      <c r="A145" s="1" t="s">
        <v>315</v>
      </c>
      <c r="B145" s="1" t="s">
        <v>194</v>
      </c>
      <c r="C145" s="1" t="s">
        <v>316</v>
      </c>
      <c r="D145" s="1" t="s">
        <v>26</v>
      </c>
      <c r="E145" s="1" t="s">
        <v>17</v>
      </c>
      <c r="F145" s="2">
        <v>62</v>
      </c>
      <c r="G145" s="1">
        <v>134</v>
      </c>
      <c r="H145" s="1" t="s">
        <v>18</v>
      </c>
      <c r="I145" s="3">
        <v>46078</v>
      </c>
      <c r="J145" s="1">
        <v>0.5</v>
      </c>
      <c r="K145" s="1" t="s">
        <v>19</v>
      </c>
      <c r="L145" s="1" t="s">
        <v>88</v>
      </c>
      <c r="M145" s="1" t="s">
        <v>89</v>
      </c>
      <c r="N145" s="1">
        <v>7.62</v>
      </c>
      <c r="O145" s="1" t="s">
        <v>47</v>
      </c>
    </row>
    <row r="146" spans="1:15">
      <c r="A146" s="1" t="s">
        <v>317</v>
      </c>
      <c r="B146" s="1" t="s">
        <v>86</v>
      </c>
      <c r="C146" s="1" t="s">
        <v>189</v>
      </c>
      <c r="D146" s="1" t="s">
        <v>26</v>
      </c>
      <c r="E146" s="1" t="s">
        <v>92</v>
      </c>
      <c r="F146" s="2">
        <v>35</v>
      </c>
      <c r="G146" s="1">
        <v>63</v>
      </c>
      <c r="H146" s="1" t="s">
        <v>38</v>
      </c>
      <c r="I146" s="3">
        <v>46329</v>
      </c>
      <c r="J146" s="1">
        <v>0.4</v>
      </c>
      <c r="K146" s="1" t="s">
        <v>22</v>
      </c>
      <c r="L146" s="1" t="s">
        <v>46</v>
      </c>
      <c r="M146" s="1" t="s">
        <v>40</v>
      </c>
      <c r="N146" s="1">
        <v>9.4499999999999993</v>
      </c>
      <c r="O146" s="1" t="s">
        <v>34</v>
      </c>
    </row>
    <row r="147" spans="1:15">
      <c r="A147" s="1" t="s">
        <v>318</v>
      </c>
      <c r="B147" s="1" t="s">
        <v>196</v>
      </c>
      <c r="C147" s="1" t="s">
        <v>247</v>
      </c>
      <c r="D147" s="1" t="s">
        <v>26</v>
      </c>
      <c r="E147" s="1" t="s">
        <v>44</v>
      </c>
      <c r="F147" s="2">
        <v>138</v>
      </c>
      <c r="G147" s="1">
        <v>238</v>
      </c>
      <c r="H147" s="1" t="s">
        <v>45</v>
      </c>
      <c r="I147" s="3">
        <v>46171</v>
      </c>
      <c r="J147" s="1">
        <v>0.4</v>
      </c>
      <c r="K147" s="1" t="s">
        <v>22</v>
      </c>
      <c r="L147" s="1" t="s">
        <v>20</v>
      </c>
      <c r="M147" s="1" t="s">
        <v>21</v>
      </c>
      <c r="N147" s="1">
        <v>2.93</v>
      </c>
      <c r="O147" s="1" t="s">
        <v>22</v>
      </c>
    </row>
    <row r="148" spans="1:15">
      <c r="A148" s="1" t="s">
        <v>319</v>
      </c>
      <c r="B148" s="1" t="s">
        <v>137</v>
      </c>
      <c r="C148" s="1" t="s">
        <v>202</v>
      </c>
      <c r="D148" s="1" t="s">
        <v>26</v>
      </c>
      <c r="E148" s="1" t="s">
        <v>44</v>
      </c>
      <c r="F148" s="2">
        <v>75</v>
      </c>
      <c r="G148" s="1">
        <v>496</v>
      </c>
      <c r="H148" s="1" t="s">
        <v>18</v>
      </c>
      <c r="I148" s="3">
        <v>46049</v>
      </c>
      <c r="J148" s="1">
        <v>0.7</v>
      </c>
      <c r="K148" s="1" t="s">
        <v>32</v>
      </c>
      <c r="L148" s="1" t="s">
        <v>106</v>
      </c>
      <c r="M148" s="1" t="s">
        <v>71</v>
      </c>
      <c r="N148" s="1">
        <v>9.32</v>
      </c>
      <c r="O148" s="1" t="s">
        <v>22</v>
      </c>
    </row>
    <row r="149" spans="1:15">
      <c r="A149" s="1" t="s">
        <v>320</v>
      </c>
      <c r="B149" s="1" t="s">
        <v>36</v>
      </c>
      <c r="C149" s="1" t="s">
        <v>113</v>
      </c>
      <c r="D149" s="1" t="s">
        <v>16</v>
      </c>
      <c r="E149" s="1" t="s">
        <v>92</v>
      </c>
      <c r="F149" s="2">
        <v>115</v>
      </c>
      <c r="G149" s="1">
        <v>877</v>
      </c>
      <c r="H149" s="1" t="s">
        <v>45</v>
      </c>
      <c r="I149" s="3">
        <v>46053</v>
      </c>
      <c r="J149" s="1">
        <v>0.5</v>
      </c>
      <c r="K149" s="1" t="s">
        <v>19</v>
      </c>
      <c r="L149" s="1" t="s">
        <v>131</v>
      </c>
      <c r="M149" s="1" t="s">
        <v>132</v>
      </c>
      <c r="N149" s="1">
        <v>2.34</v>
      </c>
      <c r="O149" s="1" t="s">
        <v>47</v>
      </c>
    </row>
    <row r="150" spans="1:15">
      <c r="A150" s="1" t="s">
        <v>321</v>
      </c>
      <c r="B150" s="1" t="s">
        <v>59</v>
      </c>
      <c r="C150" s="1" t="s">
        <v>163</v>
      </c>
      <c r="D150" s="1" t="s">
        <v>26</v>
      </c>
      <c r="E150" s="1" t="s">
        <v>105</v>
      </c>
      <c r="F150" s="2">
        <v>43</v>
      </c>
      <c r="G150" s="1">
        <v>619</v>
      </c>
      <c r="H150" s="1" t="s">
        <v>38</v>
      </c>
      <c r="I150" s="3">
        <v>46149</v>
      </c>
      <c r="J150" s="1">
        <v>1</v>
      </c>
      <c r="K150" s="1" t="s">
        <v>19</v>
      </c>
      <c r="L150" s="1" t="s">
        <v>61</v>
      </c>
      <c r="M150" s="1" t="s">
        <v>62</v>
      </c>
      <c r="N150" s="1">
        <v>1.68</v>
      </c>
      <c r="O150" s="1" t="s">
        <v>28</v>
      </c>
    </row>
    <row r="151" spans="1:15">
      <c r="A151" s="1" t="s">
        <v>322</v>
      </c>
      <c r="B151" s="1" t="s">
        <v>134</v>
      </c>
      <c r="C151" s="1" t="s">
        <v>168</v>
      </c>
      <c r="D151" s="1" t="s">
        <v>26</v>
      </c>
      <c r="E151" s="1" t="s">
        <v>17</v>
      </c>
      <c r="F151" s="2">
        <v>107</v>
      </c>
      <c r="G151" s="1">
        <v>887</v>
      </c>
      <c r="H151" s="1" t="s">
        <v>45</v>
      </c>
      <c r="I151" s="3">
        <v>46172</v>
      </c>
      <c r="J151" s="1">
        <v>0.9</v>
      </c>
      <c r="K151" s="1" t="s">
        <v>19</v>
      </c>
      <c r="L151" s="1" t="s">
        <v>106</v>
      </c>
      <c r="M151" s="1" t="s">
        <v>71</v>
      </c>
      <c r="N151" s="1">
        <v>5.94</v>
      </c>
      <c r="O151" s="1" t="s">
        <v>22</v>
      </c>
    </row>
    <row r="152" spans="1:15">
      <c r="A152" s="1" t="s">
        <v>323</v>
      </c>
      <c r="B152" s="1" t="s">
        <v>218</v>
      </c>
      <c r="C152" s="1" t="s">
        <v>236</v>
      </c>
      <c r="D152" s="1" t="s">
        <v>26</v>
      </c>
      <c r="E152" s="1" t="s">
        <v>142</v>
      </c>
      <c r="F152" s="2">
        <v>91</v>
      </c>
      <c r="G152" s="1">
        <v>73</v>
      </c>
      <c r="H152" s="1" t="s">
        <v>18</v>
      </c>
      <c r="I152" s="3">
        <v>46047</v>
      </c>
      <c r="J152" s="1">
        <v>0.7</v>
      </c>
      <c r="K152" s="1" t="s">
        <v>32</v>
      </c>
      <c r="L152" s="1" t="s">
        <v>33</v>
      </c>
      <c r="M152" s="1">
        <v>7.84</v>
      </c>
      <c r="N152" s="1" t="s">
        <v>34</v>
      </c>
      <c r="O152" s="1"/>
    </row>
    <row r="153" spans="1:15">
      <c r="A153" s="1" t="s">
        <v>324</v>
      </c>
      <c r="B153" s="1" t="s">
        <v>59</v>
      </c>
      <c r="C153" s="1" t="s">
        <v>156</v>
      </c>
      <c r="D153" s="1" t="s">
        <v>26</v>
      </c>
      <c r="E153" s="1" t="s">
        <v>75</v>
      </c>
      <c r="F153" s="2">
        <v>54</v>
      </c>
      <c r="G153" s="1">
        <v>153</v>
      </c>
      <c r="H153" s="1" t="s">
        <v>18</v>
      </c>
      <c r="I153" s="3">
        <v>46257</v>
      </c>
      <c r="J153" s="1">
        <v>0.4</v>
      </c>
      <c r="K153" s="1" t="s">
        <v>19</v>
      </c>
      <c r="L153" s="1" t="s">
        <v>46</v>
      </c>
      <c r="M153" s="1" t="s">
        <v>40</v>
      </c>
      <c r="N153" s="1">
        <v>5.67</v>
      </c>
      <c r="O153" s="1" t="s">
        <v>28</v>
      </c>
    </row>
    <row r="154" spans="1:15">
      <c r="A154" s="1" t="s">
        <v>325</v>
      </c>
      <c r="B154" s="1" t="s">
        <v>198</v>
      </c>
      <c r="C154" s="1" t="s">
        <v>95</v>
      </c>
      <c r="D154" s="1" t="s">
        <v>16</v>
      </c>
      <c r="E154" s="1" t="s">
        <v>83</v>
      </c>
      <c r="F154" s="2">
        <v>91</v>
      </c>
      <c r="G154" s="1">
        <v>141</v>
      </c>
      <c r="H154" s="1" t="s">
        <v>18</v>
      </c>
      <c r="I154" s="3">
        <v>46045</v>
      </c>
      <c r="J154" s="1">
        <v>0.5</v>
      </c>
      <c r="K154" s="1" t="s">
        <v>19</v>
      </c>
      <c r="L154" s="1" t="s">
        <v>106</v>
      </c>
      <c r="M154" s="1" t="s">
        <v>71</v>
      </c>
      <c r="N154" s="1">
        <v>2.79</v>
      </c>
      <c r="O154" s="1" t="s">
        <v>34</v>
      </c>
    </row>
    <row r="155" spans="1:15">
      <c r="A155" s="1" t="s">
        <v>326</v>
      </c>
      <c r="B155" s="1" t="s">
        <v>261</v>
      </c>
      <c r="C155" s="1" t="s">
        <v>327</v>
      </c>
      <c r="D155" s="1" t="s">
        <v>26</v>
      </c>
      <c r="E155" s="1" t="s">
        <v>69</v>
      </c>
      <c r="F155" s="2">
        <v>73</v>
      </c>
      <c r="G155" s="1">
        <v>904</v>
      </c>
      <c r="H155" s="1" t="s">
        <v>18</v>
      </c>
      <c r="I155" s="3">
        <v>46253</v>
      </c>
      <c r="J155" s="1">
        <v>0.4</v>
      </c>
      <c r="K155" s="1" t="s">
        <v>22</v>
      </c>
      <c r="L155" s="1" t="s">
        <v>46</v>
      </c>
      <c r="M155" s="1" t="s">
        <v>40</v>
      </c>
      <c r="N155" s="1">
        <v>5.0999999999999996</v>
      </c>
      <c r="O155" s="1" t="s">
        <v>28</v>
      </c>
    </row>
    <row r="156" spans="1:15">
      <c r="A156" s="1" t="s">
        <v>328</v>
      </c>
      <c r="B156" s="1" t="s">
        <v>42</v>
      </c>
      <c r="C156" s="1" t="s">
        <v>91</v>
      </c>
      <c r="D156" s="1" t="s">
        <v>16</v>
      </c>
      <c r="E156" s="1" t="s">
        <v>105</v>
      </c>
      <c r="F156" s="2">
        <v>157</v>
      </c>
      <c r="G156" s="1">
        <v>538</v>
      </c>
      <c r="H156" s="1" t="s">
        <v>45</v>
      </c>
      <c r="I156" s="3">
        <v>46088</v>
      </c>
      <c r="J156" s="1">
        <v>0.7</v>
      </c>
      <c r="K156" s="1" t="s">
        <v>32</v>
      </c>
      <c r="L156" s="1" t="s">
        <v>84</v>
      </c>
      <c r="M156" s="1">
        <v>5.37</v>
      </c>
      <c r="N156" s="1" t="s">
        <v>22</v>
      </c>
      <c r="O156" s="1"/>
    </row>
    <row r="157" spans="1:15">
      <c r="A157" s="1" t="s">
        <v>329</v>
      </c>
      <c r="B157" s="1" t="s">
        <v>330</v>
      </c>
      <c r="C157" s="1" t="s">
        <v>91</v>
      </c>
      <c r="D157" s="1" t="s">
        <v>16</v>
      </c>
      <c r="E157" s="1" t="s">
        <v>55</v>
      </c>
      <c r="F157" s="2">
        <v>57</v>
      </c>
      <c r="G157" s="1">
        <v>806</v>
      </c>
      <c r="H157" s="1" t="s">
        <v>18</v>
      </c>
      <c r="I157" s="3">
        <v>46191</v>
      </c>
      <c r="J157" s="1">
        <v>0.6</v>
      </c>
      <c r="K157" s="1" t="s">
        <v>32</v>
      </c>
      <c r="L157" s="1" t="s">
        <v>20</v>
      </c>
      <c r="M157" s="1" t="s">
        <v>21</v>
      </c>
      <c r="N157" s="1">
        <v>2.65</v>
      </c>
      <c r="O157" s="1" t="s">
        <v>34</v>
      </c>
    </row>
    <row r="158" spans="1:15">
      <c r="A158" s="1" t="s">
        <v>331</v>
      </c>
      <c r="B158" s="1" t="s">
        <v>275</v>
      </c>
      <c r="C158" s="1" t="s">
        <v>74</v>
      </c>
      <c r="D158" s="1" t="s">
        <v>26</v>
      </c>
      <c r="E158" s="1" t="s">
        <v>92</v>
      </c>
      <c r="F158" s="2">
        <v>51</v>
      </c>
      <c r="G158" s="1">
        <v>198</v>
      </c>
      <c r="H158" s="1" t="s">
        <v>18</v>
      </c>
      <c r="I158" s="3">
        <v>46326</v>
      </c>
      <c r="J158" s="1">
        <v>0.4</v>
      </c>
      <c r="K158" s="1" t="s">
        <v>32</v>
      </c>
      <c r="L158" s="1" t="s">
        <v>20</v>
      </c>
      <c r="M158" s="1" t="s">
        <v>21</v>
      </c>
      <c r="N158" s="1">
        <v>3.96</v>
      </c>
      <c r="O158" s="1" t="s">
        <v>47</v>
      </c>
    </row>
    <row r="159" spans="1:15">
      <c r="A159" s="1" t="s">
        <v>332</v>
      </c>
      <c r="B159" s="1" t="s">
        <v>108</v>
      </c>
      <c r="C159" s="1" t="s">
        <v>202</v>
      </c>
      <c r="D159" s="1" t="s">
        <v>16</v>
      </c>
      <c r="E159" s="1" t="s">
        <v>83</v>
      </c>
      <c r="F159" s="2">
        <v>113</v>
      </c>
      <c r="G159" s="1">
        <v>947</v>
      </c>
      <c r="H159" s="1" t="s">
        <v>45</v>
      </c>
      <c r="I159" s="3">
        <v>46168</v>
      </c>
      <c r="J159" s="1">
        <v>0.6</v>
      </c>
      <c r="K159" s="1" t="s">
        <v>22</v>
      </c>
      <c r="L159" s="1" t="s">
        <v>88</v>
      </c>
      <c r="M159" s="1" t="s">
        <v>89</v>
      </c>
      <c r="N159" s="1">
        <v>0.56999999999999995</v>
      </c>
      <c r="O159" s="1" t="s">
        <v>22</v>
      </c>
    </row>
    <row r="160" spans="1:15">
      <c r="A160" s="1" t="s">
        <v>333</v>
      </c>
      <c r="B160" s="1" t="s">
        <v>150</v>
      </c>
      <c r="C160" s="1" t="s">
        <v>202</v>
      </c>
      <c r="D160" s="1" t="s">
        <v>26</v>
      </c>
      <c r="E160" s="1" t="s">
        <v>101</v>
      </c>
      <c r="F160" s="2">
        <v>168</v>
      </c>
      <c r="G160" s="1">
        <v>110</v>
      </c>
      <c r="H160" s="1" t="s">
        <v>45</v>
      </c>
      <c r="I160" s="3">
        <v>46222</v>
      </c>
      <c r="J160" s="1">
        <v>0.9</v>
      </c>
      <c r="K160" s="1" t="s">
        <v>32</v>
      </c>
      <c r="L160" s="1" t="s">
        <v>131</v>
      </c>
      <c r="M160" s="1" t="s">
        <v>132</v>
      </c>
      <c r="N160" s="1">
        <v>0.75</v>
      </c>
      <c r="O160" s="1" t="s">
        <v>34</v>
      </c>
    </row>
    <row r="161" spans="1:15">
      <c r="A161" s="1" t="s">
        <v>334</v>
      </c>
      <c r="B161" s="1" t="s">
        <v>112</v>
      </c>
      <c r="C161" s="1" t="s">
        <v>163</v>
      </c>
      <c r="D161" s="1" t="s">
        <v>26</v>
      </c>
      <c r="E161" s="1" t="s">
        <v>27</v>
      </c>
      <c r="F161" s="2">
        <v>122</v>
      </c>
      <c r="G161" s="1">
        <v>907</v>
      </c>
      <c r="H161" s="1" t="s">
        <v>45</v>
      </c>
      <c r="I161" s="3">
        <v>46165</v>
      </c>
      <c r="J161" s="1">
        <v>0.5</v>
      </c>
      <c r="K161" s="1" t="s">
        <v>19</v>
      </c>
      <c r="L161" s="1" t="s">
        <v>56</v>
      </c>
      <c r="M161" s="1" t="s">
        <v>57</v>
      </c>
      <c r="N161" s="1">
        <v>2.76</v>
      </c>
      <c r="O161" s="1" t="s">
        <v>34</v>
      </c>
    </row>
    <row r="162" spans="1:15">
      <c r="A162" s="1" t="s">
        <v>335</v>
      </c>
      <c r="B162" s="1" t="s">
        <v>112</v>
      </c>
      <c r="C162" s="1" t="s">
        <v>288</v>
      </c>
      <c r="D162" s="1" t="s">
        <v>26</v>
      </c>
      <c r="E162" s="1" t="s">
        <v>92</v>
      </c>
      <c r="F162" s="2">
        <v>58</v>
      </c>
      <c r="G162" s="1">
        <v>853</v>
      </c>
      <c r="H162" s="1" t="s">
        <v>18</v>
      </c>
      <c r="I162" s="3">
        <v>46146</v>
      </c>
      <c r="J162" s="1">
        <v>0.6</v>
      </c>
      <c r="K162" s="1" t="s">
        <v>19</v>
      </c>
      <c r="L162" s="1" t="s">
        <v>46</v>
      </c>
      <c r="M162" s="1" t="s">
        <v>40</v>
      </c>
      <c r="N162" s="1">
        <v>8.57</v>
      </c>
      <c r="O162" s="1" t="s">
        <v>34</v>
      </c>
    </row>
    <row r="163" spans="1:15">
      <c r="A163" s="1" t="s">
        <v>336</v>
      </c>
      <c r="B163" s="1" t="s">
        <v>134</v>
      </c>
      <c r="C163" s="1" t="s">
        <v>191</v>
      </c>
      <c r="D163" s="1" t="s">
        <v>26</v>
      </c>
      <c r="E163" s="1" t="s">
        <v>69</v>
      </c>
      <c r="F163" s="2">
        <v>36</v>
      </c>
      <c r="G163" s="1">
        <v>561</v>
      </c>
      <c r="H163" s="1" t="s">
        <v>38</v>
      </c>
      <c r="I163" s="3">
        <v>46210</v>
      </c>
      <c r="J163" s="1">
        <v>0.6</v>
      </c>
      <c r="K163" s="1" t="s">
        <v>22</v>
      </c>
      <c r="L163" s="1" t="s">
        <v>46</v>
      </c>
      <c r="M163" s="1" t="s">
        <v>40</v>
      </c>
      <c r="N163" s="1">
        <v>2.0299999999999998</v>
      </c>
      <c r="O163" s="1" t="s">
        <v>28</v>
      </c>
    </row>
    <row r="164" spans="1:15">
      <c r="A164" s="1" t="s">
        <v>337</v>
      </c>
      <c r="B164" s="1" t="s">
        <v>204</v>
      </c>
      <c r="C164" s="1" t="s">
        <v>37</v>
      </c>
      <c r="D164" s="1" t="s">
        <v>16</v>
      </c>
      <c r="E164" s="1" t="s">
        <v>75</v>
      </c>
      <c r="F164" s="2">
        <v>81</v>
      </c>
      <c r="G164" s="1">
        <v>594</v>
      </c>
      <c r="H164" s="1" t="s">
        <v>18</v>
      </c>
      <c r="I164" s="3">
        <v>46205</v>
      </c>
      <c r="J164" s="1">
        <v>0.6</v>
      </c>
      <c r="K164" s="1" t="s">
        <v>22</v>
      </c>
      <c r="L164" s="1" t="s">
        <v>131</v>
      </c>
      <c r="M164" s="1" t="s">
        <v>132</v>
      </c>
      <c r="N164" s="1">
        <v>5.12</v>
      </c>
      <c r="O164" s="1" t="s">
        <v>28</v>
      </c>
    </row>
    <row r="165" spans="1:15">
      <c r="A165" s="1" t="s">
        <v>338</v>
      </c>
      <c r="B165" s="1" t="s">
        <v>100</v>
      </c>
      <c r="C165" s="1" t="s">
        <v>202</v>
      </c>
      <c r="D165" s="1" t="s">
        <v>16</v>
      </c>
      <c r="E165" s="1" t="s">
        <v>101</v>
      </c>
      <c r="F165" s="2">
        <v>158</v>
      </c>
      <c r="G165" s="1">
        <v>138</v>
      </c>
      <c r="H165" s="1" t="s">
        <v>45</v>
      </c>
      <c r="I165" s="3">
        <v>46350</v>
      </c>
      <c r="J165" s="1">
        <v>0.9</v>
      </c>
      <c r="K165" s="1" t="s">
        <v>19</v>
      </c>
      <c r="L165" s="1" t="s">
        <v>76</v>
      </c>
      <c r="M165" s="1" t="s">
        <v>77</v>
      </c>
      <c r="N165" s="1">
        <v>9.6999999999999993</v>
      </c>
      <c r="O165" s="1" t="s">
        <v>34</v>
      </c>
    </row>
    <row r="166" spans="1:15">
      <c r="A166" s="1" t="s">
        <v>339</v>
      </c>
      <c r="B166" s="1" t="s">
        <v>228</v>
      </c>
      <c r="C166" s="1" t="s">
        <v>98</v>
      </c>
      <c r="D166" s="1" t="s">
        <v>16</v>
      </c>
      <c r="E166" s="1" t="s">
        <v>60</v>
      </c>
      <c r="F166" s="2">
        <v>118</v>
      </c>
      <c r="G166" s="1">
        <v>89</v>
      </c>
      <c r="H166" s="1" t="s">
        <v>45</v>
      </c>
      <c r="I166" s="3">
        <v>46353</v>
      </c>
      <c r="J166" s="1">
        <v>0.8</v>
      </c>
      <c r="K166" s="1" t="s">
        <v>22</v>
      </c>
      <c r="L166" s="1" t="s">
        <v>70</v>
      </c>
      <c r="M166" s="1" t="s">
        <v>71</v>
      </c>
      <c r="N166" s="1">
        <v>2.19</v>
      </c>
      <c r="O166" s="1" t="s">
        <v>47</v>
      </c>
    </row>
    <row r="167" spans="1:15">
      <c r="A167" s="1" t="s">
        <v>340</v>
      </c>
      <c r="B167" s="1" t="s">
        <v>59</v>
      </c>
      <c r="C167" s="1" t="s">
        <v>257</v>
      </c>
      <c r="D167" s="1" t="s">
        <v>26</v>
      </c>
      <c r="E167" s="1" t="s">
        <v>142</v>
      </c>
      <c r="F167" s="2">
        <v>35</v>
      </c>
      <c r="G167" s="1">
        <v>642</v>
      </c>
      <c r="H167" s="1" t="s">
        <v>38</v>
      </c>
      <c r="I167" s="3">
        <v>46134</v>
      </c>
      <c r="J167" s="1">
        <v>0.7</v>
      </c>
      <c r="K167" s="1" t="s">
        <v>32</v>
      </c>
      <c r="L167" s="1" t="s">
        <v>70</v>
      </c>
      <c r="M167" s="1" t="s">
        <v>71</v>
      </c>
      <c r="N167" s="1">
        <v>6.53</v>
      </c>
      <c r="O167" s="1" t="s">
        <v>28</v>
      </c>
    </row>
    <row r="168" spans="1:15">
      <c r="A168" s="1" t="s">
        <v>341</v>
      </c>
      <c r="B168" s="1" t="s">
        <v>108</v>
      </c>
      <c r="C168" s="1" t="s">
        <v>25</v>
      </c>
      <c r="D168" s="1" t="s">
        <v>26</v>
      </c>
      <c r="E168" s="1" t="s">
        <v>142</v>
      </c>
      <c r="F168" s="2">
        <v>133</v>
      </c>
      <c r="G168" s="1">
        <v>408</v>
      </c>
      <c r="H168" s="1" t="s">
        <v>45</v>
      </c>
      <c r="I168" s="3">
        <v>46163</v>
      </c>
      <c r="J168" s="1">
        <v>0.5</v>
      </c>
      <c r="K168" s="1" t="s">
        <v>22</v>
      </c>
      <c r="L168" s="1" t="s">
        <v>147</v>
      </c>
      <c r="M168" s="1" t="s">
        <v>148</v>
      </c>
      <c r="N168" s="1">
        <v>5.51</v>
      </c>
      <c r="O168" s="1" t="s">
        <v>34</v>
      </c>
    </row>
    <row r="169" spans="1:15">
      <c r="A169" s="1" t="s">
        <v>342</v>
      </c>
      <c r="B169" s="1" t="s">
        <v>343</v>
      </c>
      <c r="C169" s="1" t="s">
        <v>178</v>
      </c>
      <c r="D169" s="1" t="s">
        <v>16</v>
      </c>
      <c r="E169" s="1" t="s">
        <v>110</v>
      </c>
      <c r="F169" s="2">
        <v>112</v>
      </c>
      <c r="G169" s="1">
        <v>631</v>
      </c>
      <c r="H169" s="1" t="s">
        <v>45</v>
      </c>
      <c r="I169" s="3">
        <v>46082</v>
      </c>
      <c r="J169" s="1">
        <v>1</v>
      </c>
      <c r="K169" s="1" t="s">
        <v>22</v>
      </c>
      <c r="L169" s="1" t="s">
        <v>84</v>
      </c>
      <c r="M169" s="1">
        <v>9.41</v>
      </c>
      <c r="N169" s="1" t="s">
        <v>34</v>
      </c>
      <c r="O169" s="1"/>
    </row>
    <row r="170" spans="1:15">
      <c r="A170" s="1" t="s">
        <v>344</v>
      </c>
      <c r="B170" s="1" t="s">
        <v>216</v>
      </c>
      <c r="C170" s="1" t="s">
        <v>165</v>
      </c>
      <c r="D170" s="1" t="s">
        <v>26</v>
      </c>
      <c r="E170" s="1" t="s">
        <v>92</v>
      </c>
      <c r="F170" s="2">
        <v>175</v>
      </c>
      <c r="G170" s="1">
        <v>43</v>
      </c>
      <c r="H170" s="1" t="s">
        <v>45</v>
      </c>
      <c r="I170" s="3">
        <v>46268</v>
      </c>
      <c r="J170" s="1">
        <v>0.7</v>
      </c>
      <c r="K170" s="1" t="s">
        <v>19</v>
      </c>
      <c r="L170" s="1" t="s">
        <v>61</v>
      </c>
      <c r="M170" s="1" t="s">
        <v>62</v>
      </c>
      <c r="N170" s="1">
        <v>2.23</v>
      </c>
      <c r="O170" s="1" t="s">
        <v>28</v>
      </c>
    </row>
    <row r="171" spans="1:15">
      <c r="A171" s="1" t="s">
        <v>345</v>
      </c>
      <c r="B171" s="1" t="s">
        <v>112</v>
      </c>
      <c r="C171" s="1" t="s">
        <v>65</v>
      </c>
      <c r="D171" s="1" t="s">
        <v>26</v>
      </c>
      <c r="E171" s="1" t="s">
        <v>110</v>
      </c>
      <c r="F171" s="2">
        <v>99</v>
      </c>
      <c r="G171" s="1">
        <v>566</v>
      </c>
      <c r="H171" s="1" t="s">
        <v>18</v>
      </c>
      <c r="I171" s="3">
        <v>46239</v>
      </c>
      <c r="J171" s="1">
        <v>0.8</v>
      </c>
      <c r="K171" s="1" t="s">
        <v>32</v>
      </c>
      <c r="L171" s="1" t="s">
        <v>106</v>
      </c>
      <c r="M171" s="1" t="s">
        <v>71</v>
      </c>
      <c r="N171" s="1">
        <v>5.61</v>
      </c>
      <c r="O171" s="1" t="s">
        <v>22</v>
      </c>
    </row>
    <row r="172" spans="1:15">
      <c r="A172" s="1" t="s">
        <v>346</v>
      </c>
      <c r="B172" s="1" t="s">
        <v>100</v>
      </c>
      <c r="C172" s="1" t="s">
        <v>113</v>
      </c>
      <c r="D172" s="1" t="s">
        <v>16</v>
      </c>
      <c r="E172" s="1" t="s">
        <v>55</v>
      </c>
      <c r="F172" s="2">
        <v>159</v>
      </c>
      <c r="G172" s="1">
        <v>413</v>
      </c>
      <c r="H172" s="1" t="s">
        <v>45</v>
      </c>
      <c r="I172" s="3">
        <v>46149</v>
      </c>
      <c r="J172" s="1">
        <v>0.8</v>
      </c>
      <c r="K172" s="1" t="s">
        <v>32</v>
      </c>
      <c r="L172" s="1" t="s">
        <v>61</v>
      </c>
      <c r="M172" s="1" t="s">
        <v>62</v>
      </c>
      <c r="N172" s="1">
        <v>3.5</v>
      </c>
      <c r="O172" s="1" t="s">
        <v>34</v>
      </c>
    </row>
    <row r="173" spans="1:15">
      <c r="A173" s="1" t="s">
        <v>347</v>
      </c>
      <c r="B173" s="1" t="s">
        <v>275</v>
      </c>
      <c r="C173" s="1" t="s">
        <v>245</v>
      </c>
      <c r="D173" s="1" t="s">
        <v>16</v>
      </c>
      <c r="E173" s="1" t="s">
        <v>31</v>
      </c>
      <c r="F173" s="2">
        <v>117</v>
      </c>
      <c r="G173" s="1">
        <v>258</v>
      </c>
      <c r="H173" s="1" t="s">
        <v>45</v>
      </c>
      <c r="I173" s="3">
        <v>46178</v>
      </c>
      <c r="J173" s="1">
        <v>0.5</v>
      </c>
      <c r="K173" s="1" t="s">
        <v>19</v>
      </c>
      <c r="L173" s="1" t="s">
        <v>117</v>
      </c>
      <c r="M173" s="1" t="s">
        <v>118</v>
      </c>
      <c r="N173" s="1">
        <v>3.92</v>
      </c>
      <c r="O173" s="1" t="s">
        <v>47</v>
      </c>
    </row>
    <row r="174" spans="1:15">
      <c r="A174" s="1" t="s">
        <v>348</v>
      </c>
      <c r="B174" s="1" t="s">
        <v>73</v>
      </c>
      <c r="C174" s="1" t="s">
        <v>236</v>
      </c>
      <c r="D174" s="1" t="s">
        <v>16</v>
      </c>
      <c r="E174" s="1" t="s">
        <v>55</v>
      </c>
      <c r="F174" s="2">
        <v>144</v>
      </c>
      <c r="G174" s="1">
        <v>419</v>
      </c>
      <c r="H174" s="1" t="s">
        <v>45</v>
      </c>
      <c r="I174" s="3">
        <v>46235</v>
      </c>
      <c r="J174" s="1">
        <v>0.9</v>
      </c>
      <c r="K174" s="1" t="s">
        <v>22</v>
      </c>
      <c r="L174" s="1" t="s">
        <v>128</v>
      </c>
      <c r="M174" s="1" t="s">
        <v>40</v>
      </c>
      <c r="N174" s="1">
        <v>6.34</v>
      </c>
      <c r="O174" s="1" t="s">
        <v>34</v>
      </c>
    </row>
    <row r="175" spans="1:15">
      <c r="A175" s="1" t="s">
        <v>349</v>
      </c>
      <c r="B175" s="1" t="s">
        <v>167</v>
      </c>
      <c r="C175" s="1" t="s">
        <v>127</v>
      </c>
      <c r="D175" s="1" t="s">
        <v>16</v>
      </c>
      <c r="E175" s="1" t="s">
        <v>105</v>
      </c>
      <c r="F175" s="2">
        <v>34</v>
      </c>
      <c r="G175" s="1">
        <v>706</v>
      </c>
      <c r="H175" s="1" t="s">
        <v>38</v>
      </c>
      <c r="I175" s="3">
        <v>46103</v>
      </c>
      <c r="J175" s="1">
        <v>0.9</v>
      </c>
      <c r="K175" s="1" t="s">
        <v>19</v>
      </c>
      <c r="L175" s="1" t="s">
        <v>56</v>
      </c>
      <c r="M175" s="1" t="s">
        <v>57</v>
      </c>
      <c r="N175" s="1">
        <v>2.62</v>
      </c>
      <c r="O175" s="1" t="s">
        <v>34</v>
      </c>
    </row>
    <row r="176" spans="1:15">
      <c r="A176" s="1" t="s">
        <v>350</v>
      </c>
      <c r="B176" s="1" t="s">
        <v>351</v>
      </c>
      <c r="C176" s="1" t="s">
        <v>230</v>
      </c>
      <c r="D176" s="1" t="s">
        <v>16</v>
      </c>
      <c r="E176" s="1" t="s">
        <v>51</v>
      </c>
      <c r="F176" s="2">
        <v>114</v>
      </c>
      <c r="G176" s="1">
        <v>354</v>
      </c>
      <c r="H176" s="1" t="s">
        <v>45</v>
      </c>
      <c r="I176" s="3">
        <v>46110</v>
      </c>
      <c r="J176" s="1">
        <v>0.4</v>
      </c>
      <c r="K176" s="1" t="s">
        <v>19</v>
      </c>
      <c r="L176" s="1" t="s">
        <v>39</v>
      </c>
      <c r="M176" s="1" t="s">
        <v>40</v>
      </c>
      <c r="N176" s="1">
        <v>2.0499999999999998</v>
      </c>
      <c r="O176" s="1" t="s">
        <v>28</v>
      </c>
    </row>
    <row r="177" spans="1:15">
      <c r="A177" s="1" t="s">
        <v>352</v>
      </c>
      <c r="B177" s="1" t="s">
        <v>180</v>
      </c>
      <c r="C177" s="1" t="s">
        <v>353</v>
      </c>
      <c r="D177" s="1" t="s">
        <v>16</v>
      </c>
      <c r="E177" s="1" t="s">
        <v>60</v>
      </c>
      <c r="F177" s="2">
        <v>73</v>
      </c>
      <c r="G177" s="1">
        <v>869</v>
      </c>
      <c r="H177" s="1" t="s">
        <v>18</v>
      </c>
      <c r="I177" s="3">
        <v>46110</v>
      </c>
      <c r="J177" s="1">
        <v>1</v>
      </c>
      <c r="K177" s="1" t="s">
        <v>22</v>
      </c>
      <c r="L177" s="1" t="s">
        <v>56</v>
      </c>
      <c r="M177" s="1" t="s">
        <v>57</v>
      </c>
      <c r="N177" s="1">
        <v>6.52</v>
      </c>
      <c r="O177" s="1" t="s">
        <v>22</v>
      </c>
    </row>
    <row r="178" spans="1:15">
      <c r="A178" s="1" t="s">
        <v>354</v>
      </c>
      <c r="B178" s="1" t="s">
        <v>126</v>
      </c>
      <c r="C178" s="1" t="s">
        <v>91</v>
      </c>
      <c r="D178" s="1" t="s">
        <v>16</v>
      </c>
      <c r="E178" s="1" t="s">
        <v>27</v>
      </c>
      <c r="F178" s="2">
        <v>140</v>
      </c>
      <c r="G178" s="1">
        <v>826</v>
      </c>
      <c r="H178" s="1" t="s">
        <v>45</v>
      </c>
      <c r="I178" s="3">
        <v>46289</v>
      </c>
      <c r="J178" s="1">
        <v>0.4</v>
      </c>
      <c r="K178" s="1" t="s">
        <v>32</v>
      </c>
      <c r="L178" s="1" t="s">
        <v>131</v>
      </c>
      <c r="M178" s="1" t="s">
        <v>132</v>
      </c>
      <c r="N178" s="1">
        <v>5.37</v>
      </c>
      <c r="O178" s="1" t="s">
        <v>22</v>
      </c>
    </row>
    <row r="179" spans="1:15">
      <c r="A179" s="1" t="s">
        <v>355</v>
      </c>
      <c r="B179" s="1" t="s">
        <v>218</v>
      </c>
      <c r="C179" s="1" t="s">
        <v>68</v>
      </c>
      <c r="D179" s="1" t="s">
        <v>16</v>
      </c>
      <c r="E179" s="1" t="s">
        <v>75</v>
      </c>
      <c r="F179" s="2">
        <v>41</v>
      </c>
      <c r="G179" s="1">
        <v>236</v>
      </c>
      <c r="H179" s="1" t="s">
        <v>38</v>
      </c>
      <c r="I179" s="3">
        <v>46255</v>
      </c>
      <c r="J179" s="1">
        <v>0.4</v>
      </c>
      <c r="K179" s="1" t="s">
        <v>19</v>
      </c>
      <c r="L179" s="1" t="s">
        <v>20</v>
      </c>
      <c r="M179" s="1" t="s">
        <v>21</v>
      </c>
      <c r="N179" s="1">
        <v>4.83</v>
      </c>
      <c r="O179" s="1" t="s">
        <v>22</v>
      </c>
    </row>
    <row r="180" spans="1:15">
      <c r="A180" s="1" t="s">
        <v>356</v>
      </c>
      <c r="B180" s="1" t="s">
        <v>343</v>
      </c>
      <c r="C180" s="1" t="s">
        <v>138</v>
      </c>
      <c r="D180" s="1" t="s">
        <v>26</v>
      </c>
      <c r="E180" s="1" t="s">
        <v>44</v>
      </c>
      <c r="F180" s="2">
        <v>82</v>
      </c>
      <c r="G180" s="1">
        <v>143</v>
      </c>
      <c r="H180" s="1" t="s">
        <v>18</v>
      </c>
      <c r="I180" s="3">
        <v>46116</v>
      </c>
      <c r="J180" s="1">
        <v>0.4</v>
      </c>
      <c r="K180" s="1" t="s">
        <v>32</v>
      </c>
      <c r="L180" s="1" t="s">
        <v>128</v>
      </c>
      <c r="M180" s="1" t="s">
        <v>40</v>
      </c>
      <c r="N180" s="1">
        <v>4.54</v>
      </c>
      <c r="O180" s="1" t="s">
        <v>28</v>
      </c>
    </row>
    <row r="181" spans="1:15">
      <c r="A181" s="1" t="s">
        <v>357</v>
      </c>
      <c r="B181" s="1" t="s">
        <v>180</v>
      </c>
      <c r="C181" s="1" t="s">
        <v>104</v>
      </c>
      <c r="D181" s="1" t="s">
        <v>16</v>
      </c>
      <c r="E181" s="1" t="s">
        <v>75</v>
      </c>
      <c r="F181" s="2">
        <v>146</v>
      </c>
      <c r="G181" s="1">
        <v>693</v>
      </c>
      <c r="H181" s="1" t="s">
        <v>45</v>
      </c>
      <c r="I181" s="3">
        <v>46178</v>
      </c>
      <c r="J181" s="1">
        <v>1</v>
      </c>
      <c r="K181" s="1" t="s">
        <v>32</v>
      </c>
      <c r="L181" s="1" t="s">
        <v>61</v>
      </c>
      <c r="M181" s="1" t="s">
        <v>62</v>
      </c>
      <c r="N181" s="1">
        <v>1.78</v>
      </c>
      <c r="O181" s="1" t="s">
        <v>34</v>
      </c>
    </row>
    <row r="182" spans="1:15">
      <c r="A182" s="1" t="s">
        <v>358</v>
      </c>
      <c r="B182" s="1" t="s">
        <v>216</v>
      </c>
      <c r="C182" s="1" t="s">
        <v>247</v>
      </c>
      <c r="D182" s="1" t="s">
        <v>26</v>
      </c>
      <c r="E182" s="1" t="s">
        <v>92</v>
      </c>
      <c r="F182" s="2">
        <v>163</v>
      </c>
      <c r="G182" s="1">
        <v>969</v>
      </c>
      <c r="H182" s="1" t="s">
        <v>45</v>
      </c>
      <c r="I182" s="3">
        <v>46184</v>
      </c>
      <c r="J182" s="1">
        <v>0.7</v>
      </c>
      <c r="K182" s="1" t="s">
        <v>19</v>
      </c>
      <c r="L182" s="1" t="s">
        <v>46</v>
      </c>
      <c r="M182" s="1" t="s">
        <v>40</v>
      </c>
      <c r="N182" s="1">
        <v>6.19</v>
      </c>
      <c r="O182" s="1" t="s">
        <v>47</v>
      </c>
    </row>
    <row r="183" spans="1:15">
      <c r="A183" s="1" t="s">
        <v>359</v>
      </c>
      <c r="B183" s="1" t="s">
        <v>36</v>
      </c>
      <c r="C183" s="1" t="s">
        <v>68</v>
      </c>
      <c r="D183" s="1" t="s">
        <v>26</v>
      </c>
      <c r="E183" s="1" t="s">
        <v>83</v>
      </c>
      <c r="F183" s="2">
        <v>98</v>
      </c>
      <c r="G183" s="1">
        <v>995</v>
      </c>
      <c r="H183" s="1" t="s">
        <v>18</v>
      </c>
      <c r="I183" s="3">
        <v>46146</v>
      </c>
      <c r="J183" s="1">
        <v>0.4</v>
      </c>
      <c r="K183" s="1" t="s">
        <v>32</v>
      </c>
      <c r="L183" s="1" t="s">
        <v>61</v>
      </c>
      <c r="M183" s="1" t="s">
        <v>62</v>
      </c>
      <c r="N183" s="1">
        <v>7.33</v>
      </c>
      <c r="O183" s="1" t="s">
        <v>22</v>
      </c>
    </row>
    <row r="184" spans="1:15">
      <c r="A184" s="1" t="s">
        <v>360</v>
      </c>
      <c r="B184" s="1" t="s">
        <v>49</v>
      </c>
      <c r="C184" s="1" t="s">
        <v>158</v>
      </c>
      <c r="D184" s="1" t="s">
        <v>16</v>
      </c>
      <c r="E184" s="1" t="s">
        <v>17</v>
      </c>
      <c r="F184" s="2">
        <v>136</v>
      </c>
      <c r="G184" s="1">
        <v>505</v>
      </c>
      <c r="H184" s="1" t="s">
        <v>45</v>
      </c>
      <c r="I184" s="3">
        <v>46322</v>
      </c>
      <c r="J184" s="1">
        <v>0.5</v>
      </c>
      <c r="K184" s="1" t="s">
        <v>19</v>
      </c>
      <c r="L184" s="1" t="s">
        <v>117</v>
      </c>
      <c r="M184" s="1" t="s">
        <v>118</v>
      </c>
      <c r="N184" s="1">
        <v>7.14</v>
      </c>
      <c r="O184" s="1" t="s">
        <v>28</v>
      </c>
    </row>
    <row r="185" spans="1:15">
      <c r="A185" s="1" t="s">
        <v>361</v>
      </c>
      <c r="B185" s="1" t="s">
        <v>206</v>
      </c>
      <c r="C185" s="1" t="s">
        <v>178</v>
      </c>
      <c r="D185" s="1" t="s">
        <v>26</v>
      </c>
      <c r="E185" s="1" t="s">
        <v>142</v>
      </c>
      <c r="F185" s="2">
        <v>135</v>
      </c>
      <c r="G185" s="1">
        <v>22</v>
      </c>
      <c r="H185" s="1" t="s">
        <v>45</v>
      </c>
      <c r="I185" s="3">
        <v>46027</v>
      </c>
      <c r="J185" s="1">
        <v>1</v>
      </c>
      <c r="K185" s="1" t="s">
        <v>32</v>
      </c>
      <c r="L185" s="1" t="s">
        <v>131</v>
      </c>
      <c r="M185" s="1" t="s">
        <v>132</v>
      </c>
      <c r="N185" s="1">
        <v>7.4</v>
      </c>
      <c r="O185" s="1" t="s">
        <v>47</v>
      </c>
    </row>
    <row r="186" spans="1:15">
      <c r="A186" s="1" t="s">
        <v>362</v>
      </c>
      <c r="B186" s="1" t="s">
        <v>100</v>
      </c>
      <c r="C186" s="1" t="s">
        <v>257</v>
      </c>
      <c r="D186" s="1" t="s">
        <v>16</v>
      </c>
      <c r="E186" s="1" t="s">
        <v>44</v>
      </c>
      <c r="F186" s="2">
        <v>80</v>
      </c>
      <c r="G186" s="1">
        <v>113</v>
      </c>
      <c r="H186" s="1" t="s">
        <v>18</v>
      </c>
      <c r="I186" s="3">
        <v>46088</v>
      </c>
      <c r="J186" s="1">
        <v>0.8</v>
      </c>
      <c r="K186" s="1" t="s">
        <v>19</v>
      </c>
      <c r="L186" s="1" t="s">
        <v>56</v>
      </c>
      <c r="M186" s="1" t="s">
        <v>57</v>
      </c>
      <c r="N186" s="1">
        <v>6.88</v>
      </c>
      <c r="O186" s="1" t="s">
        <v>28</v>
      </c>
    </row>
    <row r="187" spans="1:15">
      <c r="A187" s="1" t="s">
        <v>363</v>
      </c>
      <c r="B187" s="1" t="s">
        <v>150</v>
      </c>
      <c r="C187" s="1" t="s">
        <v>91</v>
      </c>
      <c r="D187" s="1" t="s">
        <v>26</v>
      </c>
      <c r="E187" s="1" t="s">
        <v>31</v>
      </c>
      <c r="F187" s="2">
        <v>32</v>
      </c>
      <c r="G187" s="1">
        <v>898</v>
      </c>
      <c r="H187" s="1" t="s">
        <v>38</v>
      </c>
      <c r="I187" s="3">
        <v>46347</v>
      </c>
      <c r="J187" s="1">
        <v>0.5</v>
      </c>
      <c r="K187" s="1" t="s">
        <v>32</v>
      </c>
      <c r="L187" s="1" t="s">
        <v>106</v>
      </c>
      <c r="M187" s="1" t="s">
        <v>71</v>
      </c>
      <c r="N187" s="1">
        <v>4.53</v>
      </c>
      <c r="O187" s="1" t="s">
        <v>34</v>
      </c>
    </row>
    <row r="188" spans="1:15">
      <c r="A188" s="1" t="s">
        <v>364</v>
      </c>
      <c r="B188" s="1" t="s">
        <v>120</v>
      </c>
      <c r="C188" s="1" t="s">
        <v>202</v>
      </c>
      <c r="D188" s="1" t="s">
        <v>26</v>
      </c>
      <c r="E188" s="1" t="s">
        <v>105</v>
      </c>
      <c r="F188" s="2">
        <v>146</v>
      </c>
      <c r="G188" s="1">
        <v>110</v>
      </c>
      <c r="H188" s="1" t="s">
        <v>45</v>
      </c>
      <c r="I188" s="3">
        <v>46193</v>
      </c>
      <c r="J188" s="1">
        <v>0.8</v>
      </c>
      <c r="K188" s="1" t="s">
        <v>22</v>
      </c>
      <c r="L188" s="1" t="s">
        <v>117</v>
      </c>
      <c r="M188" s="1" t="s">
        <v>118</v>
      </c>
      <c r="N188" s="1">
        <v>5.51</v>
      </c>
      <c r="O188" s="1" t="s">
        <v>28</v>
      </c>
    </row>
    <row r="189" spans="1:15">
      <c r="A189" s="1" t="s">
        <v>365</v>
      </c>
      <c r="B189" s="1" t="s">
        <v>241</v>
      </c>
      <c r="C189" s="1" t="s">
        <v>184</v>
      </c>
      <c r="D189" s="1" t="s">
        <v>16</v>
      </c>
      <c r="E189" s="1" t="s">
        <v>110</v>
      </c>
      <c r="F189" s="2">
        <v>165</v>
      </c>
      <c r="G189" s="1">
        <v>943</v>
      </c>
      <c r="H189" s="1" t="s">
        <v>45</v>
      </c>
      <c r="I189" s="3">
        <v>46033</v>
      </c>
      <c r="J189" s="1">
        <v>0.8</v>
      </c>
      <c r="K189" s="1" t="s">
        <v>32</v>
      </c>
      <c r="L189" s="1" t="s">
        <v>33</v>
      </c>
      <c r="M189" s="1">
        <v>6.11</v>
      </c>
      <c r="N189" s="1" t="s">
        <v>28</v>
      </c>
      <c r="O189" s="1"/>
    </row>
    <row r="190" spans="1:15">
      <c r="A190" s="1" t="s">
        <v>366</v>
      </c>
      <c r="B190" s="1" t="s">
        <v>275</v>
      </c>
      <c r="C190" s="1" t="s">
        <v>135</v>
      </c>
      <c r="D190" s="1" t="s">
        <v>16</v>
      </c>
      <c r="E190" s="1" t="s">
        <v>31</v>
      </c>
      <c r="F190" s="2">
        <v>177</v>
      </c>
      <c r="G190" s="1">
        <v>826</v>
      </c>
      <c r="H190" s="1" t="s">
        <v>45</v>
      </c>
      <c r="I190" s="3">
        <v>46339</v>
      </c>
      <c r="J190" s="1">
        <v>0.5</v>
      </c>
      <c r="K190" s="1" t="s">
        <v>22</v>
      </c>
      <c r="L190" s="1" t="s">
        <v>106</v>
      </c>
      <c r="M190" s="1" t="s">
        <v>71</v>
      </c>
      <c r="N190" s="1">
        <v>3.78</v>
      </c>
      <c r="O190" s="1" t="s">
        <v>22</v>
      </c>
    </row>
    <row r="191" spans="1:15">
      <c r="A191" s="1" t="s">
        <v>367</v>
      </c>
      <c r="B191" s="1" t="s">
        <v>97</v>
      </c>
      <c r="C191" s="1" t="s">
        <v>230</v>
      </c>
      <c r="D191" s="1" t="s">
        <v>16</v>
      </c>
      <c r="E191" s="1" t="s">
        <v>83</v>
      </c>
      <c r="F191" s="2">
        <v>51</v>
      </c>
      <c r="G191" s="1">
        <v>606</v>
      </c>
      <c r="H191" s="1" t="s">
        <v>18</v>
      </c>
      <c r="I191" s="3">
        <v>46213</v>
      </c>
      <c r="J191" s="1">
        <v>0.8</v>
      </c>
      <c r="K191" s="1" t="s">
        <v>32</v>
      </c>
      <c r="L191" s="1" t="s">
        <v>20</v>
      </c>
      <c r="M191" s="1" t="s">
        <v>21</v>
      </c>
      <c r="N191" s="1">
        <v>9.7100000000000009</v>
      </c>
      <c r="O191" s="1" t="s">
        <v>34</v>
      </c>
    </row>
    <row r="192" spans="1:15">
      <c r="A192" s="1" t="s">
        <v>368</v>
      </c>
      <c r="B192" s="1" t="s">
        <v>42</v>
      </c>
      <c r="C192" s="1" t="s">
        <v>43</v>
      </c>
      <c r="D192" s="1" t="s">
        <v>16</v>
      </c>
      <c r="E192" s="1" t="s">
        <v>31</v>
      </c>
      <c r="F192" s="2">
        <v>37</v>
      </c>
      <c r="G192" s="1">
        <v>446</v>
      </c>
      <c r="H192" s="1" t="s">
        <v>38</v>
      </c>
      <c r="I192" s="3">
        <v>46253</v>
      </c>
      <c r="J192" s="1">
        <v>0.8</v>
      </c>
      <c r="K192" s="1" t="s">
        <v>22</v>
      </c>
      <c r="L192" s="1" t="s">
        <v>46</v>
      </c>
      <c r="M192" s="1" t="s">
        <v>40</v>
      </c>
      <c r="N192" s="1">
        <v>3.15</v>
      </c>
      <c r="O192" s="1" t="s">
        <v>28</v>
      </c>
    </row>
    <row r="193" spans="1:15">
      <c r="A193" s="1" t="s">
        <v>369</v>
      </c>
      <c r="B193" s="1" t="s">
        <v>152</v>
      </c>
      <c r="C193" s="1" t="s">
        <v>165</v>
      </c>
      <c r="D193" s="1" t="s">
        <v>26</v>
      </c>
      <c r="E193" s="1" t="s">
        <v>83</v>
      </c>
      <c r="F193" s="2">
        <v>70</v>
      </c>
      <c r="G193" s="1">
        <v>763</v>
      </c>
      <c r="H193" s="1" t="s">
        <v>18</v>
      </c>
      <c r="I193" s="3">
        <v>46098</v>
      </c>
      <c r="J193" s="1">
        <v>0.7</v>
      </c>
      <c r="K193" s="1" t="s">
        <v>32</v>
      </c>
      <c r="L193" s="1" t="s">
        <v>131</v>
      </c>
      <c r="M193" s="1" t="s">
        <v>132</v>
      </c>
      <c r="N193" s="1">
        <v>4.03</v>
      </c>
      <c r="O193" s="1" t="s">
        <v>28</v>
      </c>
    </row>
    <row r="194" spans="1:15">
      <c r="A194" s="1" t="s">
        <v>370</v>
      </c>
      <c r="B194" s="1" t="s">
        <v>371</v>
      </c>
      <c r="C194" s="1" t="s">
        <v>91</v>
      </c>
      <c r="D194" s="1" t="s">
        <v>26</v>
      </c>
      <c r="E194" s="1" t="s">
        <v>142</v>
      </c>
      <c r="F194" s="2">
        <v>176</v>
      </c>
      <c r="G194" s="1">
        <v>124</v>
      </c>
      <c r="H194" s="1" t="s">
        <v>45</v>
      </c>
      <c r="I194" s="3">
        <v>46175</v>
      </c>
      <c r="J194" s="1">
        <v>0.7</v>
      </c>
      <c r="K194" s="1" t="s">
        <v>32</v>
      </c>
      <c r="L194" s="1" t="s">
        <v>106</v>
      </c>
      <c r="M194" s="1" t="s">
        <v>71</v>
      </c>
      <c r="N194" s="1">
        <v>8.58</v>
      </c>
      <c r="O194" s="1" t="s">
        <v>28</v>
      </c>
    </row>
    <row r="195" spans="1:15">
      <c r="A195" s="1" t="s">
        <v>372</v>
      </c>
      <c r="B195" s="1" t="s">
        <v>171</v>
      </c>
      <c r="C195" s="1" t="s">
        <v>161</v>
      </c>
      <c r="D195" s="1" t="s">
        <v>26</v>
      </c>
      <c r="E195" s="1" t="s">
        <v>55</v>
      </c>
      <c r="F195" s="2">
        <v>100</v>
      </c>
      <c r="G195" s="1">
        <v>498</v>
      </c>
      <c r="H195" s="1" t="s">
        <v>45</v>
      </c>
      <c r="I195" s="3">
        <v>46164</v>
      </c>
      <c r="J195" s="1">
        <v>0.6</v>
      </c>
      <c r="K195" s="1" t="s">
        <v>19</v>
      </c>
      <c r="L195" s="1" t="s">
        <v>106</v>
      </c>
      <c r="M195" s="1" t="s">
        <v>71</v>
      </c>
      <c r="N195" s="1">
        <v>6.32</v>
      </c>
      <c r="O195" s="1" t="s">
        <v>47</v>
      </c>
    </row>
    <row r="196" spans="1:15">
      <c r="A196" s="1" t="s">
        <v>373</v>
      </c>
      <c r="B196" s="1" t="s">
        <v>94</v>
      </c>
      <c r="C196" s="1" t="s">
        <v>184</v>
      </c>
      <c r="D196" s="1" t="s">
        <v>26</v>
      </c>
      <c r="E196" s="1" t="s">
        <v>60</v>
      </c>
      <c r="F196" s="2">
        <v>123</v>
      </c>
      <c r="G196" s="1">
        <v>606</v>
      </c>
      <c r="H196" s="1" t="s">
        <v>45</v>
      </c>
      <c r="I196" s="3">
        <v>46369</v>
      </c>
      <c r="J196" s="1">
        <v>0.3</v>
      </c>
      <c r="K196" s="1" t="s">
        <v>19</v>
      </c>
      <c r="L196" s="1" t="s">
        <v>88</v>
      </c>
      <c r="M196" s="1" t="s">
        <v>89</v>
      </c>
      <c r="N196" s="1">
        <v>5.7</v>
      </c>
      <c r="O196" s="1" t="s">
        <v>47</v>
      </c>
    </row>
    <row r="197" spans="1:15">
      <c r="A197" s="1" t="s">
        <v>374</v>
      </c>
      <c r="B197" s="1" t="s">
        <v>123</v>
      </c>
      <c r="C197" s="1" t="s">
        <v>255</v>
      </c>
      <c r="D197" s="1" t="s">
        <v>26</v>
      </c>
      <c r="E197" s="1" t="s">
        <v>92</v>
      </c>
      <c r="F197" s="2">
        <v>79</v>
      </c>
      <c r="G197" s="1">
        <v>839</v>
      </c>
      <c r="H197" s="1" t="s">
        <v>18</v>
      </c>
      <c r="I197" s="3">
        <v>46382</v>
      </c>
      <c r="J197" s="1">
        <v>0.6</v>
      </c>
      <c r="K197" s="1" t="s">
        <v>32</v>
      </c>
      <c r="L197" s="1" t="s">
        <v>70</v>
      </c>
      <c r="M197" s="1" t="s">
        <v>71</v>
      </c>
      <c r="N197" s="1">
        <v>7.39</v>
      </c>
      <c r="O197" s="1" t="s">
        <v>34</v>
      </c>
    </row>
    <row r="198" spans="1:15">
      <c r="A198" s="1" t="s">
        <v>375</v>
      </c>
      <c r="B198" s="1" t="s">
        <v>130</v>
      </c>
      <c r="C198" s="1" t="s">
        <v>80</v>
      </c>
      <c r="D198" s="1" t="s">
        <v>26</v>
      </c>
      <c r="E198" s="1" t="s">
        <v>60</v>
      </c>
      <c r="F198" s="2">
        <v>155</v>
      </c>
      <c r="G198" s="1">
        <v>100</v>
      </c>
      <c r="H198" s="1" t="s">
        <v>45</v>
      </c>
      <c r="I198" s="3">
        <v>46311</v>
      </c>
      <c r="J198" s="1">
        <v>1</v>
      </c>
      <c r="K198" s="1" t="s">
        <v>19</v>
      </c>
      <c r="L198" s="1" t="s">
        <v>106</v>
      </c>
      <c r="M198" s="1" t="s">
        <v>71</v>
      </c>
      <c r="N198" s="1">
        <v>9.41</v>
      </c>
      <c r="O198" s="1" t="s">
        <v>22</v>
      </c>
    </row>
    <row r="199" spans="1:15">
      <c r="A199" s="1" t="s">
        <v>376</v>
      </c>
      <c r="B199" s="1" t="s">
        <v>67</v>
      </c>
      <c r="C199" s="1" t="s">
        <v>91</v>
      </c>
      <c r="D199" s="1" t="s">
        <v>16</v>
      </c>
      <c r="E199" s="1" t="s">
        <v>51</v>
      </c>
      <c r="F199" s="2">
        <v>128</v>
      </c>
      <c r="G199" s="1">
        <v>414</v>
      </c>
      <c r="H199" s="1" t="s">
        <v>45</v>
      </c>
      <c r="I199" s="3">
        <v>46200</v>
      </c>
      <c r="J199" s="1">
        <v>0.5</v>
      </c>
      <c r="K199" s="1" t="s">
        <v>22</v>
      </c>
      <c r="L199" s="1" t="s">
        <v>128</v>
      </c>
      <c r="M199" s="1" t="s">
        <v>40</v>
      </c>
      <c r="N199" s="1">
        <v>2.66</v>
      </c>
      <c r="O199" s="1" t="s">
        <v>34</v>
      </c>
    </row>
    <row r="200" spans="1:15">
      <c r="A200" s="1" t="s">
        <v>377</v>
      </c>
      <c r="B200" s="1" t="s">
        <v>343</v>
      </c>
      <c r="C200" s="1" t="s">
        <v>161</v>
      </c>
      <c r="D200" s="1" t="s">
        <v>26</v>
      </c>
      <c r="E200" s="1" t="s">
        <v>142</v>
      </c>
      <c r="F200" s="2">
        <v>70</v>
      </c>
      <c r="G200" s="1">
        <v>554</v>
      </c>
      <c r="H200" s="1" t="s">
        <v>18</v>
      </c>
      <c r="I200" s="3">
        <v>46221</v>
      </c>
      <c r="J200" s="1">
        <v>0.6</v>
      </c>
      <c r="K200" s="1" t="s">
        <v>32</v>
      </c>
      <c r="L200" s="1" t="s">
        <v>61</v>
      </c>
      <c r="M200" s="1" t="s">
        <v>62</v>
      </c>
      <c r="N200" s="1">
        <v>6.46</v>
      </c>
      <c r="O200" s="1" t="s">
        <v>22</v>
      </c>
    </row>
    <row r="201" spans="1:15">
      <c r="A201" s="1" t="s">
        <v>378</v>
      </c>
      <c r="B201" s="1" t="s">
        <v>167</v>
      </c>
      <c r="C201" s="1" t="s">
        <v>43</v>
      </c>
      <c r="D201" s="1" t="s">
        <v>16</v>
      </c>
      <c r="E201" s="1" t="s">
        <v>51</v>
      </c>
      <c r="F201" s="2">
        <v>31</v>
      </c>
      <c r="G201" s="1">
        <v>169</v>
      </c>
      <c r="H201" s="1" t="s">
        <v>38</v>
      </c>
      <c r="I201" s="3">
        <v>46310</v>
      </c>
      <c r="J201" s="1">
        <v>0.7</v>
      </c>
      <c r="K201" s="1" t="s">
        <v>22</v>
      </c>
      <c r="L201" s="1" t="s">
        <v>61</v>
      </c>
      <c r="M201" s="1" t="s">
        <v>62</v>
      </c>
      <c r="N201" s="1">
        <v>5.84</v>
      </c>
      <c r="O201" s="1" t="s">
        <v>34</v>
      </c>
    </row>
    <row r="213" spans="1:1">
      <c r="A213" s="49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7425-C2B7-4A5F-9E37-9527A0AD9285}">
  <dimension ref="D3:K21"/>
  <sheetViews>
    <sheetView workbookViewId="0">
      <selection activeCell="F20" sqref="F20"/>
    </sheetView>
  </sheetViews>
  <sheetFormatPr defaultRowHeight="15"/>
  <cols>
    <col min="4" max="4" width="24" customWidth="1"/>
    <col min="5" max="5" width="18.5703125" customWidth="1"/>
    <col min="6" max="6" width="16" customWidth="1"/>
    <col min="7" max="7" width="12.28515625" bestFit="1" customWidth="1"/>
    <col min="8" max="8" width="12.42578125" bestFit="1" customWidth="1"/>
  </cols>
  <sheetData>
    <row r="3" spans="4:8">
      <c r="D3" s="8" t="s">
        <v>4</v>
      </c>
      <c r="E3" s="9" t="s">
        <v>380</v>
      </c>
      <c r="F3" s="10" t="s">
        <v>381</v>
      </c>
      <c r="G3" s="11" t="s">
        <v>382</v>
      </c>
      <c r="H3" s="12" t="s">
        <v>383</v>
      </c>
    </row>
    <row r="4" spans="4:8" ht="17.25" customHeight="1">
      <c r="D4" s="1" t="s">
        <v>17</v>
      </c>
      <c r="E4" s="4">
        <f>COUNTIFS(Sheet1!E2:E201,Average!D4)</f>
        <v>15</v>
      </c>
      <c r="F4" s="5">
        <f>SUMIFS(Sheet1!F2:F201,Sheet1!E2:E201,Average!D4)</f>
        <v>1490</v>
      </c>
      <c r="G4" s="6">
        <f>AVERAGEIFS(Sheet1!F2:F201,Sheet1!E2:E201,Average!D4)</f>
        <v>99.333333333333329</v>
      </c>
      <c r="H4" s="5">
        <f>F4*1.1</f>
        <v>1639.0000000000002</v>
      </c>
    </row>
    <row r="5" spans="4:8">
      <c r="D5" s="1" t="s">
        <v>27</v>
      </c>
      <c r="E5" s="4">
        <f>COUNTIFS(Sheet1!E3:E202,Average!D5)</f>
        <v>11</v>
      </c>
      <c r="F5" s="5">
        <f>SUMIFS(Sheet1!F3:F202,Sheet1!E3:E202,Average!D5)</f>
        <v>1206</v>
      </c>
      <c r="G5" s="6">
        <f>AVERAGEIFS(Sheet1!F3:F202,Sheet1!E3:E202,Average!D5)</f>
        <v>109.63636363636364</v>
      </c>
      <c r="H5" s="5">
        <f t="shared" ref="H5:H18" si="0">F5*110/100</f>
        <v>1326.6</v>
      </c>
    </row>
    <row r="6" spans="4:8">
      <c r="D6" s="1" t="s">
        <v>31</v>
      </c>
      <c r="E6" s="4">
        <f>COUNTIFS(Sheet1!E4:E203,Average!D6)</f>
        <v>15</v>
      </c>
      <c r="F6" s="5">
        <f>SUMIFS(Sheet1!F4:F203,Sheet1!E4:E203,Average!D6)</f>
        <v>1609</v>
      </c>
      <c r="G6" s="6">
        <f>AVERAGEIFS(Sheet1!F4:F203,Sheet1!E4:E203,Average!D6)</f>
        <v>107.26666666666667</v>
      </c>
      <c r="H6" s="5">
        <f t="shared" si="0"/>
        <v>1769.9</v>
      </c>
    </row>
    <row r="7" spans="4:8">
      <c r="D7" s="1" t="s">
        <v>44</v>
      </c>
      <c r="E7" s="4">
        <f>COUNTIFS(Sheet1!E5:E204,Average!D7)</f>
        <v>13</v>
      </c>
      <c r="F7" s="5">
        <f>SUMIFS(Sheet1!F5:F204,Sheet1!E5:E204,Average!D7)</f>
        <v>1166</v>
      </c>
      <c r="G7" s="6">
        <f>AVERAGEIFS(Sheet1!F5:F204,Sheet1!E5:E204,Average!D7)</f>
        <v>89.692307692307693</v>
      </c>
      <c r="H7" s="5">
        <f t="shared" si="0"/>
        <v>1282.5999999999999</v>
      </c>
    </row>
    <row r="8" spans="4:8">
      <c r="D8" s="1" t="s">
        <v>51</v>
      </c>
      <c r="E8" s="4">
        <f>COUNTIFS(Sheet1!E6:E205,Average!D8)</f>
        <v>11</v>
      </c>
      <c r="F8" s="5">
        <f>SUMIFS(Sheet1!F6:F205,Sheet1!E6:E205,Average!D8)</f>
        <v>1223</v>
      </c>
      <c r="G8" s="6">
        <f>AVERAGEIFS(Sheet1!F6:F205,Sheet1!E6:E205,Average!D8)</f>
        <v>111.18181818181819</v>
      </c>
      <c r="H8" s="5">
        <f t="shared" si="0"/>
        <v>1345.3</v>
      </c>
    </row>
    <row r="9" spans="4:8">
      <c r="D9" s="1" t="s">
        <v>55</v>
      </c>
      <c r="E9" s="4">
        <f>COUNTIFS(Sheet1!E7:E206,Average!D9)</f>
        <v>10</v>
      </c>
      <c r="F9" s="5">
        <f>SUMIFS(Sheet1!F7:F206,Sheet1!E7:E206,Average!D9)</f>
        <v>1106</v>
      </c>
      <c r="G9" s="6">
        <f>AVERAGEIFS(Sheet1!F7:F206,Sheet1!E7:E206,Average!D9)</f>
        <v>110.6</v>
      </c>
      <c r="H9" s="5">
        <f t="shared" si="0"/>
        <v>1216.5999999999999</v>
      </c>
    </row>
    <row r="10" spans="4:8">
      <c r="D10" s="1" t="s">
        <v>60</v>
      </c>
      <c r="E10" s="4">
        <f>COUNTIFS(Sheet1!E8:E207,Average!D10)</f>
        <v>13</v>
      </c>
      <c r="F10" s="5">
        <f>SUMIFS(Sheet1!F8:F207,Sheet1!E8:E207,Average!D10)</f>
        <v>1275</v>
      </c>
      <c r="G10" s="6">
        <f>AVERAGEIFS(Sheet1!F8:F207,Sheet1!E8:E207,Average!D10)</f>
        <v>98.07692307692308</v>
      </c>
      <c r="H10" s="5">
        <f t="shared" si="0"/>
        <v>1402.5</v>
      </c>
    </row>
    <row r="11" spans="4:8">
      <c r="D11" s="1" t="s">
        <v>69</v>
      </c>
      <c r="E11" s="4">
        <f>COUNTIFS(Sheet1!E9:E208,Average!D11)</f>
        <v>14</v>
      </c>
      <c r="F11" s="5">
        <f>SUMIFS(Sheet1!F9:F208,Sheet1!E9:E208,Average!D11)</f>
        <v>1386</v>
      </c>
      <c r="G11" s="6">
        <f>AVERAGEIFS(Sheet1!F9:F208,Sheet1!E9:E208,Average!D11)</f>
        <v>99</v>
      </c>
      <c r="H11" s="5">
        <f t="shared" si="0"/>
        <v>1524.6</v>
      </c>
    </row>
    <row r="12" spans="4:8">
      <c r="D12" s="1" t="s">
        <v>75</v>
      </c>
      <c r="E12" s="4">
        <f>COUNTIFS(Sheet1!E10:E209,Average!D12)</f>
        <v>14</v>
      </c>
      <c r="F12" s="5">
        <f>SUMIFS(Sheet1!F10:F209,Sheet1!E10:E209,Average!D12)</f>
        <v>1484</v>
      </c>
      <c r="G12" s="6">
        <f>AVERAGEIFS(Sheet1!F10:F209,Sheet1!E10:E209,Average!D12)</f>
        <v>106</v>
      </c>
      <c r="H12" s="5">
        <f t="shared" si="0"/>
        <v>1632.4</v>
      </c>
    </row>
    <row r="13" spans="4:8">
      <c r="D13" s="1" t="s">
        <v>83</v>
      </c>
      <c r="E13" s="4">
        <f>COUNTIFS(Sheet1!E11:E210,Average!D13)</f>
        <v>19</v>
      </c>
      <c r="F13" s="5">
        <f>SUMIFS(Sheet1!F11:F210,Sheet1!E11:E210,Average!D13)</f>
        <v>1684</v>
      </c>
      <c r="G13" s="6">
        <f>AVERAGEIFS(Sheet1!F11:F210,Sheet1!E11:E210,Average!D13)</f>
        <v>88.631578947368425</v>
      </c>
      <c r="H13" s="5">
        <f t="shared" si="0"/>
        <v>1852.4</v>
      </c>
    </row>
    <row r="14" spans="4:8">
      <c r="D14" s="1" t="s">
        <v>92</v>
      </c>
      <c r="E14" s="4">
        <f>COUNTIFS(Sheet1!E12:E211,Average!D14)</f>
        <v>17</v>
      </c>
      <c r="F14" s="5">
        <f>SUMIFS(Sheet1!F12:F211,Sheet1!E12:E211,Average!D14)</f>
        <v>1779</v>
      </c>
      <c r="G14" s="6">
        <f>AVERAGEIFS(Sheet1!F12:F211,Sheet1!E12:E211,Average!D14)</f>
        <v>104.64705882352941</v>
      </c>
      <c r="H14" s="5">
        <f t="shared" si="0"/>
        <v>1956.9</v>
      </c>
    </row>
    <row r="15" spans="4:8">
      <c r="D15" s="1" t="s">
        <v>101</v>
      </c>
      <c r="E15" s="4">
        <f>COUNTIFS(Sheet1!E13:E212,Average!D15)</f>
        <v>11</v>
      </c>
      <c r="F15" s="5">
        <f>SUMIFS(Sheet1!F13:F212,Sheet1!E13:E212,Average!D15)</f>
        <v>1307</v>
      </c>
      <c r="G15" s="6">
        <f>AVERAGEIFS(Sheet1!F13:F212,Sheet1!E13:E212,Average!D15)</f>
        <v>118.81818181818181</v>
      </c>
      <c r="H15" s="5">
        <f t="shared" si="0"/>
        <v>1437.7</v>
      </c>
    </row>
    <row r="16" spans="4:8">
      <c r="D16" s="1" t="s">
        <v>105</v>
      </c>
      <c r="E16" s="4">
        <f>COUNTIFS(Sheet1!E14:E213,Average!D16)</f>
        <v>10</v>
      </c>
      <c r="F16" s="5">
        <f>SUMIFS(Sheet1!F14:F213,Sheet1!E14:E213,Average!D16)</f>
        <v>1073</v>
      </c>
      <c r="G16" s="6">
        <f>AVERAGEIFS(Sheet1!F14:F213,Sheet1!E14:E213,Average!D16)</f>
        <v>107.3</v>
      </c>
      <c r="H16" s="5">
        <f t="shared" si="0"/>
        <v>1180.3</v>
      </c>
    </row>
    <row r="17" spans="4:11">
      <c r="D17" s="1" t="s">
        <v>110</v>
      </c>
      <c r="E17" s="4">
        <f>COUNTIFS(Sheet1!E15:E214,Average!D17)</f>
        <v>12</v>
      </c>
      <c r="F17" s="5">
        <f>SUMIFS(Sheet1!F15:F214,Sheet1!E15:E214,Average!D17)</f>
        <v>1459</v>
      </c>
      <c r="G17" s="6">
        <f>AVERAGEIFS(Sheet1!F15:F214,Sheet1!E15:E214,Average!D17)</f>
        <v>121.58333333333333</v>
      </c>
      <c r="H17" s="5">
        <f t="shared" si="0"/>
        <v>1604.9</v>
      </c>
    </row>
    <row r="18" spans="4:11">
      <c r="D18" s="1" t="s">
        <v>142</v>
      </c>
      <c r="E18" s="4">
        <f>COUNTIFS(Sheet1!E16:E215,Average!D18)</f>
        <v>15</v>
      </c>
      <c r="F18" s="5">
        <f>SUMIFS(Sheet1!F16:F215,Sheet1!E16:E215,Average!D18)</f>
        <v>1520</v>
      </c>
      <c r="G18" s="6">
        <f>AVERAGEIFS(Sheet1!F16:F215,Sheet1!E16:E215,Average!D18)</f>
        <v>101.33333333333333</v>
      </c>
      <c r="H18" s="5">
        <f t="shared" si="0"/>
        <v>1672</v>
      </c>
    </row>
    <row r="21" spans="4:11">
      <c r="K21" s="49" t="s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228B-9120-4E00-BBCF-2C094452284E}">
  <dimension ref="C1:AD326"/>
  <sheetViews>
    <sheetView topLeftCell="K124" workbookViewId="0">
      <selection activeCell="R127" sqref="R127"/>
    </sheetView>
  </sheetViews>
  <sheetFormatPr defaultRowHeight="15"/>
  <cols>
    <col min="3" max="3" width="13.7109375" customWidth="1"/>
    <col min="4" max="4" width="16.28515625" customWidth="1"/>
    <col min="6" max="6" width="19.5703125" customWidth="1"/>
    <col min="7" max="7" width="10" customWidth="1"/>
    <col min="11" max="11" width="36.5703125" bestFit="1" customWidth="1"/>
    <col min="18" max="18" width="36.5703125" bestFit="1" customWidth="1"/>
  </cols>
  <sheetData>
    <row r="1" spans="4:18">
      <c r="D1" s="14" t="s">
        <v>384</v>
      </c>
    </row>
    <row r="3" spans="4:18">
      <c r="D3" s="13" t="str" cm="1">
        <f t="array" ref="D3:Q3">Sheet1!A1:N1</f>
        <v>Emp_ID</v>
      </c>
      <c r="E3" s="13" t="str">
        <v>First_Name</v>
      </c>
      <c r="F3" s="13" t="str">
        <v>Last_Name</v>
      </c>
      <c r="G3" s="13" t="str">
        <v>Gender</v>
      </c>
      <c r="H3" s="13" t="str">
        <v>Department</v>
      </c>
      <c r="I3" s="13" t="str">
        <v>Salary</v>
      </c>
      <c r="J3" s="13" t="str">
        <v>Salary_Bucket</v>
      </c>
      <c r="K3" s="13" t="str">
        <v>Start_Date</v>
      </c>
      <c r="L3" s="13" t="str">
        <v>FTE</v>
      </c>
      <c r="M3" s="13" t="str">
        <v>Employee type</v>
      </c>
      <c r="N3" s="13" t="str">
        <v>Work_location</v>
      </c>
      <c r="O3" s="13" t="str">
        <v>Tenure</v>
      </c>
      <c r="P3" s="13" t="str">
        <v>Work_Type</v>
      </c>
      <c r="Q3">
        <v>0</v>
      </c>
    </row>
    <row r="4" spans="4:18">
      <c r="D4" s="17" t="str" cm="1">
        <f t="array" ref="D4:R107">_xlfn._xlws.FILTER(Sheet1!A2:O201,Sheet1!F2:F201&gt;100)</f>
        <v>PR91404</v>
      </c>
      <c r="E4" t="str">
        <v>Michael</v>
      </c>
      <c r="F4" t="str">
        <v>Mitchell</v>
      </c>
      <c r="G4" t="str">
        <v>Male</v>
      </c>
      <c r="H4" t="str">
        <v>Finance</v>
      </c>
      <c r="I4">
        <v>156</v>
      </c>
      <c r="J4">
        <v>732</v>
      </c>
      <c r="K4" t="str">
        <v>Above 100k</v>
      </c>
      <c r="L4">
        <v>46126</v>
      </c>
      <c r="M4">
        <v>0.6</v>
      </c>
      <c r="N4" t="str">
        <v>Permanent</v>
      </c>
      <c r="O4" t="str">
        <v>New York</v>
      </c>
      <c r="P4" t="str">
        <v>USA</v>
      </c>
      <c r="Q4">
        <v>8.19</v>
      </c>
      <c r="R4" t="str">
        <v>Freelance</v>
      </c>
    </row>
    <row r="5" spans="4:18">
      <c r="D5" t="str">
        <v>PR26442</v>
      </c>
      <c r="E5" t="str">
        <v>Andreas</v>
      </c>
      <c r="F5" t="str">
        <v>Smith</v>
      </c>
      <c r="G5" t="str">
        <v>Male</v>
      </c>
      <c r="H5" t="str">
        <v>IT</v>
      </c>
      <c r="I5">
        <v>143</v>
      </c>
      <c r="J5">
        <v>894</v>
      </c>
      <c r="K5" t="str">
        <v>Above 100k</v>
      </c>
      <c r="L5">
        <v>46094</v>
      </c>
      <c r="M5">
        <v>0.4</v>
      </c>
      <c r="N5" t="str">
        <v>Permanent</v>
      </c>
      <c r="O5" t="str">
        <v>Sydney</v>
      </c>
      <c r="P5" t="str">
        <v>Australia</v>
      </c>
      <c r="Q5">
        <v>1.1100000000000001</v>
      </c>
      <c r="R5" t="str">
        <v>Contract</v>
      </c>
    </row>
    <row r="6" spans="4:18">
      <c r="D6" t="str">
        <v>PR43906</v>
      </c>
      <c r="E6" t="str">
        <v>Horst</v>
      </c>
      <c r="F6" t="str">
        <v>Perez</v>
      </c>
      <c r="G6" t="str">
        <v>Female</v>
      </c>
      <c r="H6" t="str">
        <v>Marketing</v>
      </c>
      <c r="I6">
        <v>107</v>
      </c>
      <c r="J6">
        <v>996</v>
      </c>
      <c r="K6" t="str">
        <v>Above 100k</v>
      </c>
      <c r="L6">
        <v>46055</v>
      </c>
      <c r="M6">
        <v>0.8</v>
      </c>
      <c r="N6" t="str">
        <v>Contract</v>
      </c>
      <c r="O6" t="str">
        <v>Hyderabad</v>
      </c>
      <c r="P6" t="str">
        <v>India</v>
      </c>
      <c r="Q6">
        <v>6.43</v>
      </c>
      <c r="R6" t="str">
        <v>Part time</v>
      </c>
    </row>
    <row r="7" spans="4:18">
      <c r="D7" t="str">
        <v>PR40245</v>
      </c>
      <c r="E7" t="str">
        <v>Ursula</v>
      </c>
      <c r="F7" t="str">
        <v>Hill</v>
      </c>
      <c r="G7" t="str">
        <v>Male</v>
      </c>
      <c r="H7" t="str">
        <v>Data Analytics</v>
      </c>
      <c r="I7">
        <v>136</v>
      </c>
      <c r="J7">
        <v>213</v>
      </c>
      <c r="K7" t="str">
        <v>Above 100k</v>
      </c>
      <c r="L7">
        <v>46332</v>
      </c>
      <c r="M7">
        <v>0.7</v>
      </c>
      <c r="N7" t="str">
        <v>Permanent</v>
      </c>
      <c r="O7" t="str">
        <v>London</v>
      </c>
      <c r="P7" t="str">
        <v>UK</v>
      </c>
      <c r="Q7">
        <v>7.74</v>
      </c>
      <c r="R7" t="str">
        <v>Part time</v>
      </c>
    </row>
    <row r="8" spans="4:18">
      <c r="D8" t="str">
        <v>PR47648</v>
      </c>
      <c r="E8" t="str">
        <v>Brigitte</v>
      </c>
      <c r="F8" t="str">
        <v>Turner</v>
      </c>
      <c r="G8" t="str">
        <v>Female</v>
      </c>
      <c r="H8" t="str">
        <v>Data Analytics</v>
      </c>
      <c r="I8">
        <v>164</v>
      </c>
      <c r="J8">
        <v>32</v>
      </c>
      <c r="K8" t="str">
        <v>Above 100k</v>
      </c>
      <c r="L8">
        <v>46366</v>
      </c>
      <c r="M8">
        <v>0.4</v>
      </c>
      <c r="N8" t="str">
        <v>Temporary</v>
      </c>
      <c r="O8" t="str">
        <v>Remote</v>
      </c>
      <c r="P8">
        <v>5.6</v>
      </c>
      <c r="Q8" t="str">
        <v>Part time</v>
      </c>
      <c r="R8">
        <v>0</v>
      </c>
    </row>
    <row r="9" spans="4:18">
      <c r="D9" s="4" t="str">
        <v>PR71131</v>
      </c>
      <c r="E9" t="str">
        <v>Manfred</v>
      </c>
      <c r="F9" t="str">
        <v>Phillips</v>
      </c>
      <c r="G9" t="str">
        <v>Female</v>
      </c>
      <c r="H9" t="str">
        <v>Sales</v>
      </c>
      <c r="I9">
        <v>128</v>
      </c>
      <c r="J9">
        <v>485</v>
      </c>
      <c r="K9" t="str">
        <v>Above 100k</v>
      </c>
      <c r="L9">
        <v>46030</v>
      </c>
      <c r="M9">
        <v>0.9</v>
      </c>
      <c r="N9" t="str">
        <v>Permanent</v>
      </c>
      <c r="O9" t="str">
        <v>London</v>
      </c>
      <c r="P9" t="str">
        <v>UK</v>
      </c>
      <c r="Q9">
        <v>0.64</v>
      </c>
      <c r="R9" t="str">
        <v>Freelance</v>
      </c>
    </row>
    <row r="10" spans="4:18">
      <c r="D10" t="str">
        <v>PR55662</v>
      </c>
      <c r="E10" t="str">
        <v>Dieter</v>
      </c>
      <c r="F10" t="str">
        <v>Young</v>
      </c>
      <c r="G10" t="str">
        <v>Female</v>
      </c>
      <c r="H10" t="str">
        <v>Operations</v>
      </c>
      <c r="I10">
        <v>119</v>
      </c>
      <c r="J10">
        <v>389</v>
      </c>
      <c r="K10" t="str">
        <v>Above 100k</v>
      </c>
      <c r="L10">
        <v>46108</v>
      </c>
      <c r="M10">
        <v>0.6</v>
      </c>
      <c r="N10" t="str">
        <v>Permanent</v>
      </c>
      <c r="O10" t="str">
        <v>Remote</v>
      </c>
      <c r="P10">
        <v>1.32</v>
      </c>
      <c r="Q10" t="str">
        <v>Full time</v>
      </c>
      <c r="R10">
        <v>0</v>
      </c>
    </row>
    <row r="11" spans="4:18">
      <c r="D11" t="str">
        <v>PR25096</v>
      </c>
      <c r="E11" t="str">
        <v>Beryl</v>
      </c>
      <c r="F11" t="str">
        <v>Davis</v>
      </c>
      <c r="G11" t="str">
        <v>Male</v>
      </c>
      <c r="H11" t="str">
        <v>Human Resources</v>
      </c>
      <c r="I11">
        <v>105</v>
      </c>
      <c r="J11">
        <v>544</v>
      </c>
      <c r="K11" t="str">
        <v>Above 100k</v>
      </c>
      <c r="L11">
        <v>46371</v>
      </c>
      <c r="M11">
        <v>0.9</v>
      </c>
      <c r="N11" t="str">
        <v>Permanent</v>
      </c>
      <c r="O11" t="str">
        <v>Hyderabad</v>
      </c>
      <c r="P11" t="str">
        <v>India</v>
      </c>
      <c r="Q11">
        <v>7.01</v>
      </c>
      <c r="R11" t="str">
        <v>Full time</v>
      </c>
    </row>
    <row r="12" spans="4:18">
      <c r="D12" t="str">
        <v>PR56147</v>
      </c>
      <c r="E12" t="str">
        <v>Julia</v>
      </c>
      <c r="F12" t="str">
        <v>Fellgate</v>
      </c>
      <c r="G12" t="str">
        <v>Male</v>
      </c>
      <c r="H12" t="str">
        <v>Training</v>
      </c>
      <c r="I12">
        <v>179</v>
      </c>
      <c r="J12">
        <v>673</v>
      </c>
      <c r="K12" t="str">
        <v>Above 100k</v>
      </c>
      <c r="L12">
        <v>46054</v>
      </c>
      <c r="M12">
        <v>0.4</v>
      </c>
      <c r="N12" t="str">
        <v>Temporary</v>
      </c>
      <c r="O12" t="str">
        <v>London</v>
      </c>
      <c r="P12" t="str">
        <v>UK</v>
      </c>
      <c r="Q12">
        <v>9.86</v>
      </c>
      <c r="R12" t="str">
        <v>Freelance</v>
      </c>
    </row>
    <row r="13" spans="4:18">
      <c r="D13" t="str">
        <v>PR32576</v>
      </c>
      <c r="E13" t="str">
        <v>Emma</v>
      </c>
      <c r="F13" t="str">
        <v>Moore</v>
      </c>
      <c r="G13" t="str">
        <v>Female</v>
      </c>
      <c r="H13" t="str">
        <v>Product Management</v>
      </c>
      <c r="I13">
        <v>118</v>
      </c>
      <c r="J13">
        <v>728</v>
      </c>
      <c r="K13" t="str">
        <v>Above 100k</v>
      </c>
      <c r="L13">
        <v>46049</v>
      </c>
      <c r="M13">
        <v>0.6</v>
      </c>
      <c r="N13" t="str">
        <v>Contract</v>
      </c>
      <c r="O13" t="str">
        <v>Dubai</v>
      </c>
      <c r="P13" t="str">
        <v>UAE</v>
      </c>
      <c r="Q13">
        <v>5.71</v>
      </c>
      <c r="R13" t="str">
        <v>Part time</v>
      </c>
    </row>
    <row r="14" spans="4:18">
      <c r="D14" t="str">
        <v>PR34510</v>
      </c>
      <c r="E14" t="str">
        <v>Sarah</v>
      </c>
      <c r="F14" t="str">
        <v>Clark</v>
      </c>
      <c r="G14" t="str">
        <v>Male</v>
      </c>
      <c r="H14" t="str">
        <v>Product Management</v>
      </c>
      <c r="I14">
        <v>148</v>
      </c>
      <c r="J14">
        <v>806</v>
      </c>
      <c r="K14" t="str">
        <v>Above 100k</v>
      </c>
      <c r="L14">
        <v>46091</v>
      </c>
      <c r="M14">
        <v>0.4</v>
      </c>
      <c r="N14" t="str">
        <v>Contract</v>
      </c>
      <c r="O14" t="str">
        <v>Columbus</v>
      </c>
      <c r="P14" t="str">
        <v>USA</v>
      </c>
      <c r="Q14">
        <v>2.0499999999999998</v>
      </c>
      <c r="R14" t="str">
        <v>Full time</v>
      </c>
    </row>
    <row r="15" spans="4:18">
      <c r="D15" t="str">
        <v>PR23233</v>
      </c>
      <c r="E15" t="str">
        <v>Klaus</v>
      </c>
      <c r="F15" t="str">
        <v>Burnsyde</v>
      </c>
      <c r="G15" t="str">
        <v>Male</v>
      </c>
      <c r="H15" t="str">
        <v>Customer Service</v>
      </c>
      <c r="I15">
        <v>170</v>
      </c>
      <c r="J15">
        <v>775</v>
      </c>
      <c r="K15" t="str">
        <v>Above 100k</v>
      </c>
      <c r="L15">
        <v>46167</v>
      </c>
      <c r="M15">
        <v>0.4</v>
      </c>
      <c r="N15" t="str">
        <v>Permanent</v>
      </c>
      <c r="O15" t="str">
        <v>Berlin</v>
      </c>
      <c r="P15" t="str">
        <v>Germany</v>
      </c>
      <c r="Q15">
        <v>2.97</v>
      </c>
      <c r="R15" t="str">
        <v>Part time</v>
      </c>
    </row>
    <row r="16" spans="4:18">
      <c r="D16" t="str">
        <v>PR63739</v>
      </c>
      <c r="E16" t="str">
        <v>Elfriede</v>
      </c>
      <c r="F16" t="str">
        <v>Green</v>
      </c>
      <c r="G16" t="str">
        <v>Male</v>
      </c>
      <c r="H16" t="str">
        <v>Data Analytics</v>
      </c>
      <c r="I16">
        <v>104</v>
      </c>
      <c r="J16">
        <v>718</v>
      </c>
      <c r="K16" t="str">
        <v>Above 100k</v>
      </c>
      <c r="L16">
        <v>46108</v>
      </c>
      <c r="M16">
        <v>0.4</v>
      </c>
      <c r="N16" t="str">
        <v>Temporary</v>
      </c>
      <c r="O16" t="str">
        <v>Toronto</v>
      </c>
      <c r="P16" t="str">
        <v>Canada</v>
      </c>
      <c r="Q16">
        <v>8.49</v>
      </c>
      <c r="R16" t="str">
        <v>Part time</v>
      </c>
    </row>
    <row r="17" spans="4:18">
      <c r="D17" t="str">
        <v>PR78417</v>
      </c>
      <c r="E17" t="str">
        <v>Erich</v>
      </c>
      <c r="F17" t="str">
        <v>Lewis</v>
      </c>
      <c r="G17" t="str">
        <v>Female</v>
      </c>
      <c r="H17" t="str">
        <v>Research and Development</v>
      </c>
      <c r="I17">
        <v>155</v>
      </c>
      <c r="J17">
        <v>265</v>
      </c>
      <c r="K17" t="str">
        <v>Above 100k</v>
      </c>
      <c r="L17">
        <v>46090</v>
      </c>
      <c r="M17">
        <v>0.6</v>
      </c>
      <c r="N17" t="str">
        <v>Contract</v>
      </c>
      <c r="O17" t="str">
        <v>Toronto</v>
      </c>
      <c r="P17" t="str">
        <v>Canada</v>
      </c>
      <c r="Q17">
        <v>6.13</v>
      </c>
      <c r="R17" t="str">
        <v>Contract</v>
      </c>
    </row>
    <row r="18" spans="4:18">
      <c r="D18" t="str">
        <v>PR42580</v>
      </c>
      <c r="E18" t="str">
        <v>Dieter</v>
      </c>
      <c r="F18" t="str">
        <v>Jones</v>
      </c>
      <c r="G18" t="str">
        <v>Female</v>
      </c>
      <c r="H18" t="str">
        <v>Product Management</v>
      </c>
      <c r="I18">
        <v>112</v>
      </c>
      <c r="J18">
        <v>393</v>
      </c>
      <c r="K18" t="str">
        <v>Above 100k</v>
      </c>
      <c r="L18">
        <v>46266</v>
      </c>
      <c r="M18">
        <v>0.9</v>
      </c>
      <c r="N18" t="str">
        <v>Contract</v>
      </c>
      <c r="O18" t="str">
        <v>Chicago</v>
      </c>
      <c r="P18" t="str">
        <v>USA</v>
      </c>
      <c r="Q18">
        <v>2.59</v>
      </c>
      <c r="R18" t="str">
        <v>Full time</v>
      </c>
    </row>
    <row r="19" spans="4:18">
      <c r="D19" t="str">
        <v>PR77997</v>
      </c>
      <c r="E19" t="str">
        <v>Hans</v>
      </c>
      <c r="F19" t="str">
        <v>Lewis</v>
      </c>
      <c r="G19" t="str">
        <v>Male</v>
      </c>
      <c r="H19" t="str">
        <v>Marketing</v>
      </c>
      <c r="I19">
        <v>146</v>
      </c>
      <c r="J19">
        <v>200</v>
      </c>
      <c r="K19" t="str">
        <v>Above 100k</v>
      </c>
      <c r="L19">
        <v>46234</v>
      </c>
      <c r="M19">
        <v>0.4</v>
      </c>
      <c r="N19" t="str">
        <v>Contract</v>
      </c>
      <c r="O19" t="str">
        <v>Toronto</v>
      </c>
      <c r="P19" t="str">
        <v>Canada</v>
      </c>
      <c r="Q19">
        <v>3.8</v>
      </c>
      <c r="R19" t="str">
        <v>Part time</v>
      </c>
    </row>
    <row r="20" spans="4:18">
      <c r="D20" t="str">
        <v>PR72197</v>
      </c>
      <c r="E20" t="str">
        <v>Maria</v>
      </c>
      <c r="F20" t="str">
        <v>Flores</v>
      </c>
      <c r="G20" t="str">
        <v>Male</v>
      </c>
      <c r="H20" t="str">
        <v>Human Resources</v>
      </c>
      <c r="I20">
        <v>130</v>
      </c>
      <c r="J20">
        <v>11</v>
      </c>
      <c r="K20" t="str">
        <v>Above 100k</v>
      </c>
      <c r="L20">
        <v>46355</v>
      </c>
      <c r="M20">
        <v>0.4</v>
      </c>
      <c r="N20" t="str">
        <v>Temporary</v>
      </c>
      <c r="O20" t="str">
        <v>Remote</v>
      </c>
      <c r="P20">
        <v>3.8</v>
      </c>
      <c r="Q20" t="str">
        <v>Contract</v>
      </c>
      <c r="R20">
        <v>0</v>
      </c>
    </row>
    <row r="21" spans="4:18">
      <c r="D21" t="str">
        <v>PR47581</v>
      </c>
      <c r="E21" t="str">
        <v>Brigitte</v>
      </c>
      <c r="F21" t="str">
        <v>Hall</v>
      </c>
      <c r="G21" t="str">
        <v>Male</v>
      </c>
      <c r="H21" t="str">
        <v>Engineering</v>
      </c>
      <c r="I21">
        <v>135</v>
      </c>
      <c r="J21">
        <v>959</v>
      </c>
      <c r="K21" t="str">
        <v>Above 100k</v>
      </c>
      <c r="L21">
        <v>46172</v>
      </c>
      <c r="M21">
        <v>0.9</v>
      </c>
      <c r="N21" t="str">
        <v>Permanent</v>
      </c>
      <c r="O21" t="str">
        <v>Remote</v>
      </c>
      <c r="P21">
        <v>5.46</v>
      </c>
      <c r="Q21" t="str">
        <v>Part time</v>
      </c>
      <c r="R21">
        <v>0</v>
      </c>
    </row>
    <row r="22" spans="4:18">
      <c r="D22" t="str">
        <v>PR89785</v>
      </c>
      <c r="E22" t="str">
        <v>Maria</v>
      </c>
      <c r="F22" t="str">
        <v>Veeravasarapu</v>
      </c>
      <c r="G22" t="str">
        <v>Male</v>
      </c>
      <c r="H22" t="str">
        <v>Training</v>
      </c>
      <c r="I22">
        <v>169</v>
      </c>
      <c r="J22">
        <v>133</v>
      </c>
      <c r="K22" t="str">
        <v>Above 100k</v>
      </c>
      <c r="L22">
        <v>46352</v>
      </c>
      <c r="M22">
        <v>0.5</v>
      </c>
      <c r="N22" t="str">
        <v>Permanent</v>
      </c>
      <c r="O22" t="str">
        <v>Remote</v>
      </c>
      <c r="P22">
        <v>6.71</v>
      </c>
      <c r="Q22" t="str">
        <v>Contract</v>
      </c>
      <c r="R22">
        <v>0</v>
      </c>
    </row>
    <row r="23" spans="4:18">
      <c r="D23" t="str">
        <v>PR33378</v>
      </c>
      <c r="E23" t="str">
        <v>Erich</v>
      </c>
      <c r="F23" t="str">
        <v>Harris</v>
      </c>
      <c r="G23" t="str">
        <v>Female</v>
      </c>
      <c r="H23" t="str">
        <v>Legal</v>
      </c>
      <c r="I23">
        <v>127</v>
      </c>
      <c r="J23">
        <v>989</v>
      </c>
      <c r="K23" t="str">
        <v>Above 100k</v>
      </c>
      <c r="L23">
        <v>46364</v>
      </c>
      <c r="M23">
        <v>0.8</v>
      </c>
      <c r="N23" t="str">
        <v>Contract</v>
      </c>
      <c r="O23" t="str">
        <v>Toronto</v>
      </c>
      <c r="P23" t="str">
        <v>Canada</v>
      </c>
      <c r="Q23">
        <v>3.6</v>
      </c>
      <c r="R23" t="str">
        <v>Freelance</v>
      </c>
    </row>
    <row r="24" spans="4:18">
      <c r="D24" t="str">
        <v>PR96736</v>
      </c>
      <c r="E24" t="str">
        <v>Hildegard</v>
      </c>
      <c r="F24" t="str">
        <v>Campbell</v>
      </c>
      <c r="G24" t="str">
        <v>Female</v>
      </c>
      <c r="H24" t="str">
        <v>Accounting</v>
      </c>
      <c r="I24">
        <v>138</v>
      </c>
      <c r="J24">
        <v>984</v>
      </c>
      <c r="K24" t="str">
        <v>Above 100k</v>
      </c>
      <c r="L24">
        <v>46122</v>
      </c>
      <c r="M24">
        <v>0.9</v>
      </c>
      <c r="N24" t="str">
        <v>Temporary</v>
      </c>
      <c r="O24" t="str">
        <v>Mumbai</v>
      </c>
      <c r="P24" t="str">
        <v>India</v>
      </c>
      <c r="Q24">
        <v>0.97</v>
      </c>
      <c r="R24" t="str">
        <v>Full time</v>
      </c>
    </row>
    <row r="25" spans="4:18">
      <c r="D25" t="str">
        <v>PR70590</v>
      </c>
      <c r="E25" t="str">
        <v>Torrance</v>
      </c>
      <c r="F25" t="str">
        <v>Vadali</v>
      </c>
      <c r="G25" t="str">
        <v>Male</v>
      </c>
      <c r="H25" t="str">
        <v>Customer Service</v>
      </c>
      <c r="I25">
        <v>147</v>
      </c>
      <c r="J25">
        <v>453</v>
      </c>
      <c r="K25" t="str">
        <v>Above 100k</v>
      </c>
      <c r="L25">
        <v>46093</v>
      </c>
      <c r="M25">
        <v>0.5</v>
      </c>
      <c r="N25" t="str">
        <v>Contract</v>
      </c>
      <c r="O25" t="str">
        <v>Hyderabad</v>
      </c>
      <c r="P25" t="str">
        <v>India</v>
      </c>
      <c r="Q25">
        <v>4.03</v>
      </c>
      <c r="R25" t="str">
        <v>Contract</v>
      </c>
    </row>
    <row r="26" spans="4:18">
      <c r="D26" t="str">
        <v>PR89803</v>
      </c>
      <c r="E26" t="str">
        <v>Beryl</v>
      </c>
      <c r="F26" t="str">
        <v>Perez</v>
      </c>
      <c r="G26" t="str">
        <v>Male</v>
      </c>
      <c r="H26" t="str">
        <v>Operations</v>
      </c>
      <c r="I26">
        <v>157</v>
      </c>
      <c r="J26">
        <v>10</v>
      </c>
      <c r="K26" t="str">
        <v>Above 100k</v>
      </c>
      <c r="L26">
        <v>46170</v>
      </c>
      <c r="M26">
        <v>1</v>
      </c>
      <c r="N26" t="str">
        <v>Contract</v>
      </c>
      <c r="O26" t="str">
        <v>Singapore</v>
      </c>
      <c r="P26">
        <v>7.28</v>
      </c>
      <c r="Q26" t="str">
        <v>Full time</v>
      </c>
      <c r="R26">
        <v>0</v>
      </c>
    </row>
    <row r="27" spans="4:18">
      <c r="D27" t="str">
        <v>PR21693</v>
      </c>
      <c r="E27" t="str">
        <v>Jill</v>
      </c>
      <c r="F27" t="str">
        <v>Martinez</v>
      </c>
      <c r="G27" t="str">
        <v>Male</v>
      </c>
      <c r="H27" t="str">
        <v>Marketing</v>
      </c>
      <c r="I27">
        <v>105</v>
      </c>
      <c r="J27">
        <v>181</v>
      </c>
      <c r="K27" t="str">
        <v>Above 100k</v>
      </c>
      <c r="L27">
        <v>46206</v>
      </c>
      <c r="M27">
        <v>0.8</v>
      </c>
      <c r="N27" t="str">
        <v>Permanent</v>
      </c>
      <c r="O27" t="str">
        <v>Sydney</v>
      </c>
      <c r="P27" t="str">
        <v>Australia</v>
      </c>
      <c r="Q27">
        <v>5.99</v>
      </c>
      <c r="R27" t="str">
        <v>Contract</v>
      </c>
    </row>
    <row r="28" spans="4:18">
      <c r="D28" t="str">
        <v>PR41569</v>
      </c>
      <c r="E28" t="str">
        <v>Brigitte</v>
      </c>
      <c r="F28" t="str">
        <v>White</v>
      </c>
      <c r="G28" t="str">
        <v>Male</v>
      </c>
      <c r="H28" t="str">
        <v>Engineering</v>
      </c>
      <c r="I28">
        <v>177</v>
      </c>
      <c r="J28">
        <v>653</v>
      </c>
      <c r="K28" t="str">
        <v>Above 100k</v>
      </c>
      <c r="L28">
        <v>46147</v>
      </c>
      <c r="M28">
        <v>0.5</v>
      </c>
      <c r="N28" t="str">
        <v>Contract</v>
      </c>
      <c r="O28" t="str">
        <v>Toronto</v>
      </c>
      <c r="P28" t="str">
        <v>Canada</v>
      </c>
      <c r="Q28">
        <v>2.76</v>
      </c>
      <c r="R28" t="str">
        <v>Full time</v>
      </c>
    </row>
    <row r="29" spans="4:18">
      <c r="D29" t="str">
        <v>PR84680</v>
      </c>
      <c r="E29" t="str">
        <v>Robert</v>
      </c>
      <c r="F29" t="str">
        <v>Robinson</v>
      </c>
      <c r="G29" t="str">
        <v>Male</v>
      </c>
      <c r="H29" t="str">
        <v>Human Resources</v>
      </c>
      <c r="I29">
        <v>125</v>
      </c>
      <c r="J29">
        <v>464</v>
      </c>
      <c r="K29" t="str">
        <v>Above 100k</v>
      </c>
      <c r="L29">
        <v>46374</v>
      </c>
      <c r="M29">
        <v>0.9</v>
      </c>
      <c r="N29" t="str">
        <v>Contract</v>
      </c>
      <c r="O29" t="str">
        <v>Sydney</v>
      </c>
      <c r="P29" t="str">
        <v>Australia</v>
      </c>
      <c r="Q29">
        <v>4.8099999999999996</v>
      </c>
      <c r="R29" t="str">
        <v>Freelance</v>
      </c>
    </row>
    <row r="30" spans="4:18">
      <c r="D30" t="str">
        <v>PR45681</v>
      </c>
      <c r="E30" t="str">
        <v>Bernd</v>
      </c>
      <c r="F30" t="str">
        <v>Ricardot</v>
      </c>
      <c r="G30" t="str">
        <v>Male</v>
      </c>
      <c r="H30" t="str">
        <v>Legal</v>
      </c>
      <c r="I30">
        <v>167</v>
      </c>
      <c r="J30">
        <v>702</v>
      </c>
      <c r="K30" t="str">
        <v>Above 100k</v>
      </c>
      <c r="L30">
        <v>46378</v>
      </c>
      <c r="M30">
        <v>0.5</v>
      </c>
      <c r="N30" t="str">
        <v>Permanent</v>
      </c>
      <c r="O30" t="str">
        <v>Singapore</v>
      </c>
      <c r="P30">
        <v>2.64</v>
      </c>
      <c r="Q30" t="str">
        <v>Part time</v>
      </c>
      <c r="R30">
        <v>0</v>
      </c>
    </row>
    <row r="31" spans="4:18">
      <c r="D31" t="str">
        <v>PR76983</v>
      </c>
      <c r="E31" t="str">
        <v>Inger</v>
      </c>
      <c r="F31" t="str">
        <v>Hall</v>
      </c>
      <c r="G31" t="str">
        <v>Male</v>
      </c>
      <c r="H31" t="str">
        <v>IT</v>
      </c>
      <c r="I31">
        <v>115</v>
      </c>
      <c r="J31">
        <v>18</v>
      </c>
      <c r="K31" t="str">
        <v>Above 100k</v>
      </c>
      <c r="L31">
        <v>46265</v>
      </c>
      <c r="M31">
        <v>0.3</v>
      </c>
      <c r="N31" t="str">
        <v>Contract</v>
      </c>
      <c r="O31" t="str">
        <v>Wellington</v>
      </c>
      <c r="P31" t="str">
        <v>New Zealand</v>
      </c>
      <c r="Q31">
        <v>3.65</v>
      </c>
      <c r="R31" t="str">
        <v>Part time</v>
      </c>
    </row>
    <row r="32" spans="4:18">
      <c r="D32" t="str">
        <v>PR11368</v>
      </c>
      <c r="E32" t="str">
        <v>Günter</v>
      </c>
      <c r="F32" t="str">
        <v>Campbell</v>
      </c>
      <c r="G32" t="str">
        <v>Female</v>
      </c>
      <c r="H32" t="str">
        <v>Business Development</v>
      </c>
      <c r="I32">
        <v>179</v>
      </c>
      <c r="J32">
        <v>227</v>
      </c>
      <c r="K32" t="str">
        <v>Above 100k</v>
      </c>
      <c r="L32">
        <v>46235</v>
      </c>
      <c r="M32">
        <v>0.8</v>
      </c>
      <c r="N32" t="str">
        <v>Temporary</v>
      </c>
      <c r="O32" t="str">
        <v>London</v>
      </c>
      <c r="P32" t="str">
        <v>UK</v>
      </c>
      <c r="Q32">
        <v>4.55</v>
      </c>
      <c r="R32" t="str">
        <v>Contract</v>
      </c>
    </row>
    <row r="33" spans="4:18">
      <c r="D33" t="str">
        <v>PR14854</v>
      </c>
      <c r="E33" t="str">
        <v>Bernd</v>
      </c>
      <c r="F33" t="str">
        <v>Taylor</v>
      </c>
      <c r="G33" t="str">
        <v>Male</v>
      </c>
      <c r="H33" t="str">
        <v>Marketing</v>
      </c>
      <c r="I33">
        <v>102</v>
      </c>
      <c r="J33">
        <v>435</v>
      </c>
      <c r="K33" t="str">
        <v>Above 100k</v>
      </c>
      <c r="L33">
        <v>46343</v>
      </c>
      <c r="M33">
        <v>0.7</v>
      </c>
      <c r="N33" t="str">
        <v>Contract</v>
      </c>
      <c r="O33" t="str">
        <v>Dubai</v>
      </c>
      <c r="P33" t="str">
        <v>UAE</v>
      </c>
      <c r="Q33">
        <v>9.7200000000000006</v>
      </c>
      <c r="R33" t="str">
        <v>Contract</v>
      </c>
    </row>
    <row r="34" spans="4:18">
      <c r="D34" t="str">
        <v>PR18326</v>
      </c>
      <c r="E34" t="str">
        <v>Hannelore</v>
      </c>
      <c r="F34" t="str">
        <v>Garcia</v>
      </c>
      <c r="G34" t="str">
        <v>Male</v>
      </c>
      <c r="H34" t="str">
        <v>Product Management</v>
      </c>
      <c r="I34">
        <v>120</v>
      </c>
      <c r="J34">
        <v>109</v>
      </c>
      <c r="K34" t="str">
        <v>Above 100k</v>
      </c>
      <c r="L34">
        <v>46040</v>
      </c>
      <c r="M34">
        <v>0.6</v>
      </c>
      <c r="N34" t="str">
        <v>Contract</v>
      </c>
      <c r="O34" t="str">
        <v>London</v>
      </c>
      <c r="P34" t="str">
        <v>UK</v>
      </c>
      <c r="Q34">
        <v>1.82</v>
      </c>
      <c r="R34" t="str">
        <v>Full time</v>
      </c>
    </row>
    <row r="35" spans="4:18">
      <c r="D35" t="str">
        <v>PR59070</v>
      </c>
      <c r="E35" t="str">
        <v>Ursula</v>
      </c>
      <c r="F35" t="str">
        <v>Taylor</v>
      </c>
      <c r="G35" t="str">
        <v>Male</v>
      </c>
      <c r="H35" t="str">
        <v>Legal</v>
      </c>
      <c r="I35">
        <v>127</v>
      </c>
      <c r="J35">
        <v>981</v>
      </c>
      <c r="K35" t="str">
        <v>Above 100k</v>
      </c>
      <c r="L35">
        <v>46307</v>
      </c>
      <c r="M35">
        <v>0.6</v>
      </c>
      <c r="N35" t="str">
        <v>Contract</v>
      </c>
      <c r="O35" t="str">
        <v>London</v>
      </c>
      <c r="P35" t="str">
        <v>UK</v>
      </c>
      <c r="Q35">
        <v>6.42</v>
      </c>
      <c r="R35" t="str">
        <v>Contract</v>
      </c>
    </row>
    <row r="36" spans="4:18">
      <c r="D36" t="str">
        <v>PR43763</v>
      </c>
      <c r="E36" t="str">
        <v>Bernd</v>
      </c>
      <c r="F36" t="str">
        <v>Mitchell</v>
      </c>
      <c r="G36" t="str">
        <v>Male</v>
      </c>
      <c r="H36" t="str">
        <v>Business Development</v>
      </c>
      <c r="I36">
        <v>149</v>
      </c>
      <c r="J36">
        <v>551</v>
      </c>
      <c r="K36" t="str">
        <v>Above 100k</v>
      </c>
      <c r="L36">
        <v>46200</v>
      </c>
      <c r="M36">
        <v>0.8</v>
      </c>
      <c r="N36" t="str">
        <v>Permanent</v>
      </c>
      <c r="O36" t="str">
        <v>Remote</v>
      </c>
      <c r="P36">
        <v>0.79</v>
      </c>
      <c r="Q36" t="str">
        <v>Full time</v>
      </c>
      <c r="R36">
        <v>0</v>
      </c>
    </row>
    <row r="37" spans="4:18">
      <c r="D37" t="str">
        <v>PR72967</v>
      </c>
      <c r="E37" t="str">
        <v>Sarah</v>
      </c>
      <c r="F37" t="str">
        <v>Nguyen</v>
      </c>
      <c r="G37" t="str">
        <v>Male</v>
      </c>
      <c r="H37" t="str">
        <v>Data Analytics</v>
      </c>
      <c r="I37">
        <v>138</v>
      </c>
      <c r="J37">
        <v>605</v>
      </c>
      <c r="K37" t="str">
        <v>Above 100k</v>
      </c>
      <c r="L37">
        <v>46266</v>
      </c>
      <c r="M37">
        <v>0.7</v>
      </c>
      <c r="N37" t="str">
        <v>Permanent</v>
      </c>
      <c r="O37" t="str">
        <v>Sydney</v>
      </c>
      <c r="P37" t="str">
        <v>Australia</v>
      </c>
      <c r="Q37">
        <v>7.83</v>
      </c>
      <c r="R37" t="str">
        <v>Full time</v>
      </c>
    </row>
    <row r="38" spans="4:18">
      <c r="D38" t="str">
        <v>PR65084</v>
      </c>
      <c r="E38" t="str">
        <v>Gerhard</v>
      </c>
      <c r="F38" t="str">
        <v>Augar</v>
      </c>
      <c r="G38" t="str">
        <v>Female</v>
      </c>
      <c r="H38" t="str">
        <v>Marketing</v>
      </c>
      <c r="I38">
        <v>172</v>
      </c>
      <c r="J38">
        <v>310</v>
      </c>
      <c r="K38" t="str">
        <v>Above 100k</v>
      </c>
      <c r="L38">
        <v>46314</v>
      </c>
      <c r="M38">
        <v>0.4</v>
      </c>
      <c r="N38" t="str">
        <v>Temporary</v>
      </c>
      <c r="O38" t="str">
        <v>Dubai</v>
      </c>
      <c r="P38" t="str">
        <v>UAE</v>
      </c>
      <c r="Q38">
        <v>4.58</v>
      </c>
      <c r="R38" t="str">
        <v>Full time</v>
      </c>
    </row>
    <row r="39" spans="4:18">
      <c r="D39" t="str">
        <v>PR52944</v>
      </c>
      <c r="E39" t="str">
        <v>Rainer</v>
      </c>
      <c r="F39" t="str">
        <v>Veeravasarapu</v>
      </c>
      <c r="G39" t="str">
        <v>Male</v>
      </c>
      <c r="H39" t="str">
        <v>Sales</v>
      </c>
      <c r="I39">
        <v>136</v>
      </c>
      <c r="J39">
        <v>433</v>
      </c>
      <c r="K39" t="str">
        <v>Above 100k</v>
      </c>
      <c r="L39">
        <v>46030</v>
      </c>
      <c r="M39">
        <v>0.7</v>
      </c>
      <c r="N39" t="str">
        <v>Permanent</v>
      </c>
      <c r="O39" t="str">
        <v>Dubai</v>
      </c>
      <c r="P39" t="str">
        <v>UAE</v>
      </c>
      <c r="Q39">
        <v>7.71</v>
      </c>
      <c r="R39" t="str">
        <v>Freelance</v>
      </c>
    </row>
    <row r="40" spans="4:18">
      <c r="D40" t="str">
        <v>PR78020</v>
      </c>
      <c r="E40" t="str">
        <v>Robert</v>
      </c>
      <c r="F40" t="str">
        <v>Brown</v>
      </c>
      <c r="G40" t="str">
        <v>Male</v>
      </c>
      <c r="H40" t="str">
        <v>Sales</v>
      </c>
      <c r="I40">
        <v>179</v>
      </c>
      <c r="J40">
        <v>240</v>
      </c>
      <c r="K40" t="str">
        <v>Above 100k</v>
      </c>
      <c r="L40">
        <v>46146</v>
      </c>
      <c r="M40">
        <v>0.9</v>
      </c>
      <c r="N40" t="str">
        <v>Permanent</v>
      </c>
      <c r="O40" t="str">
        <v>Paris</v>
      </c>
      <c r="P40" t="str">
        <v>France</v>
      </c>
      <c r="Q40">
        <v>8.48</v>
      </c>
      <c r="R40" t="str">
        <v>Freelance</v>
      </c>
    </row>
    <row r="41" spans="4:18">
      <c r="D41" t="str">
        <v>PR40477</v>
      </c>
      <c r="E41" t="str">
        <v>Nicole</v>
      </c>
      <c r="F41" t="str">
        <v>Veeravasarapu</v>
      </c>
      <c r="G41" t="str">
        <v>Male</v>
      </c>
      <c r="H41" t="str">
        <v>Customer Service</v>
      </c>
      <c r="I41">
        <v>155</v>
      </c>
      <c r="J41">
        <v>582</v>
      </c>
      <c r="K41" t="str">
        <v>Above 100k</v>
      </c>
      <c r="L41">
        <v>46208</v>
      </c>
      <c r="M41">
        <v>0.3</v>
      </c>
      <c r="N41" t="str">
        <v>Permanent</v>
      </c>
      <c r="O41" t="str">
        <v>Hyderabad</v>
      </c>
      <c r="P41" t="str">
        <v>India</v>
      </c>
      <c r="Q41">
        <v>5.31</v>
      </c>
      <c r="R41" t="str">
        <v>Full time</v>
      </c>
    </row>
    <row r="42" spans="4:18">
      <c r="D42" t="str">
        <v>PR77328</v>
      </c>
      <c r="E42" t="str">
        <v>Markus</v>
      </c>
      <c r="F42" t="str">
        <v>Damarsingh</v>
      </c>
      <c r="G42" t="str">
        <v>Female</v>
      </c>
      <c r="H42" t="str">
        <v>Marketing</v>
      </c>
      <c r="I42">
        <v>172</v>
      </c>
      <c r="J42">
        <v>41</v>
      </c>
      <c r="K42" t="str">
        <v>Above 100k</v>
      </c>
      <c r="L42">
        <v>46276</v>
      </c>
      <c r="M42">
        <v>0.8</v>
      </c>
      <c r="N42" t="str">
        <v>Temporary</v>
      </c>
      <c r="O42" t="str">
        <v>Mumbai</v>
      </c>
      <c r="P42" t="str">
        <v>India</v>
      </c>
      <c r="Q42">
        <v>5.05</v>
      </c>
      <c r="R42" t="str">
        <v>Contract</v>
      </c>
    </row>
    <row r="43" spans="4:18">
      <c r="D43" t="str">
        <v>PR98182</v>
      </c>
      <c r="E43" t="str">
        <v>Günter</v>
      </c>
      <c r="F43" t="str">
        <v>Carter</v>
      </c>
      <c r="G43" t="str">
        <v>Male</v>
      </c>
      <c r="H43" t="str">
        <v>IT</v>
      </c>
      <c r="I43">
        <v>111</v>
      </c>
      <c r="J43">
        <v>817</v>
      </c>
      <c r="K43" t="str">
        <v>Above 100k</v>
      </c>
      <c r="L43">
        <v>46050</v>
      </c>
      <c r="M43">
        <v>0.5</v>
      </c>
      <c r="N43" t="str">
        <v>Permanent</v>
      </c>
      <c r="O43" t="str">
        <v>Columbus</v>
      </c>
      <c r="P43" t="str">
        <v>USA</v>
      </c>
      <c r="Q43">
        <v>4.13</v>
      </c>
      <c r="R43" t="str">
        <v>Contract</v>
      </c>
    </row>
    <row r="44" spans="4:18">
      <c r="D44" t="str">
        <v>PR91157</v>
      </c>
      <c r="E44" t="str">
        <v>Inger</v>
      </c>
      <c r="F44" t="str">
        <v>Lewis</v>
      </c>
      <c r="G44" t="str">
        <v>Female</v>
      </c>
      <c r="H44" t="str">
        <v>IT</v>
      </c>
      <c r="I44">
        <v>156</v>
      </c>
      <c r="J44">
        <v>363</v>
      </c>
      <c r="K44" t="str">
        <v>Above 100k</v>
      </c>
      <c r="L44">
        <v>46335</v>
      </c>
      <c r="M44">
        <v>0.5</v>
      </c>
      <c r="N44" t="str">
        <v>Temporary</v>
      </c>
      <c r="O44" t="str">
        <v>Tokyo</v>
      </c>
      <c r="P44" t="str">
        <v>Japan</v>
      </c>
      <c r="Q44">
        <v>3.78</v>
      </c>
      <c r="R44" t="str">
        <v>Part time</v>
      </c>
    </row>
    <row r="45" spans="4:18">
      <c r="D45" t="str">
        <v>PR69530</v>
      </c>
      <c r="E45" t="str">
        <v>Konrad</v>
      </c>
      <c r="F45" t="str">
        <v>Jackson</v>
      </c>
      <c r="G45" t="str">
        <v>Male</v>
      </c>
      <c r="H45" t="str">
        <v>Finance</v>
      </c>
      <c r="I45">
        <v>170</v>
      </c>
      <c r="J45">
        <v>721</v>
      </c>
      <c r="K45" t="str">
        <v>Above 100k</v>
      </c>
      <c r="L45">
        <v>46050</v>
      </c>
      <c r="M45">
        <v>0.8</v>
      </c>
      <c r="N45" t="str">
        <v>Permanent</v>
      </c>
      <c r="O45" t="str">
        <v>Toronto</v>
      </c>
      <c r="P45" t="str">
        <v>Canada</v>
      </c>
      <c r="Q45">
        <v>3.75</v>
      </c>
      <c r="R45" t="str">
        <v>Freelance</v>
      </c>
    </row>
    <row r="46" spans="4:18">
      <c r="D46" t="str">
        <v>PR82142</v>
      </c>
      <c r="E46" t="str">
        <v>Thomas</v>
      </c>
      <c r="F46" t="str">
        <v>Chapelbow</v>
      </c>
      <c r="G46" t="str">
        <v>Male</v>
      </c>
      <c r="H46" t="str">
        <v>Customer Service</v>
      </c>
      <c r="I46">
        <v>121</v>
      </c>
      <c r="J46">
        <v>948</v>
      </c>
      <c r="K46" t="str">
        <v>Above 100k</v>
      </c>
      <c r="L46">
        <v>46306</v>
      </c>
      <c r="M46">
        <v>0.5</v>
      </c>
      <c r="N46" t="str">
        <v>Permanent</v>
      </c>
      <c r="O46" t="str">
        <v>Remote</v>
      </c>
      <c r="P46">
        <v>9.49</v>
      </c>
      <c r="Q46" t="str">
        <v>Freelance</v>
      </c>
      <c r="R46">
        <v>0</v>
      </c>
    </row>
    <row r="47" spans="4:18">
      <c r="D47" t="str">
        <v>PR63635</v>
      </c>
      <c r="E47" t="str">
        <v>Günter</v>
      </c>
      <c r="F47" t="str">
        <v>Young</v>
      </c>
      <c r="G47" t="str">
        <v>Male</v>
      </c>
      <c r="H47" t="str">
        <v>Research and Development</v>
      </c>
      <c r="I47">
        <v>155</v>
      </c>
      <c r="J47">
        <v>426</v>
      </c>
      <c r="K47" t="str">
        <v>Above 100k</v>
      </c>
      <c r="L47">
        <v>46183</v>
      </c>
      <c r="M47">
        <v>0.5</v>
      </c>
      <c r="N47" t="str">
        <v>Temporary</v>
      </c>
      <c r="O47" t="str">
        <v>Remote</v>
      </c>
      <c r="P47">
        <v>3.24</v>
      </c>
      <c r="Q47" t="str">
        <v>Contract</v>
      </c>
      <c r="R47">
        <v>0</v>
      </c>
    </row>
    <row r="48" spans="4:18">
      <c r="D48" t="str">
        <v>PR47016</v>
      </c>
      <c r="E48" t="str">
        <v>Beryl</v>
      </c>
      <c r="F48" t="str">
        <v>Collier</v>
      </c>
      <c r="G48" t="str">
        <v>Female</v>
      </c>
      <c r="H48" t="str">
        <v>Data Analytics</v>
      </c>
      <c r="I48">
        <v>155</v>
      </c>
      <c r="J48">
        <v>312</v>
      </c>
      <c r="K48" t="str">
        <v>Above 100k</v>
      </c>
      <c r="L48">
        <v>46068</v>
      </c>
      <c r="M48">
        <v>0.4</v>
      </c>
      <c r="N48" t="str">
        <v>Contract</v>
      </c>
      <c r="O48" t="str">
        <v>Berlin</v>
      </c>
      <c r="P48" t="str">
        <v>Germany</v>
      </c>
      <c r="Q48">
        <v>9.9499999999999993</v>
      </c>
      <c r="R48" t="str">
        <v>Full time</v>
      </c>
    </row>
    <row r="49" spans="4:18">
      <c r="D49" t="str">
        <v>PR93463</v>
      </c>
      <c r="E49" t="str">
        <v>Hildegard</v>
      </c>
      <c r="F49" t="str">
        <v>Shipsey</v>
      </c>
      <c r="G49" t="str">
        <v>Female</v>
      </c>
      <c r="H49" t="str">
        <v>Finance</v>
      </c>
      <c r="I49">
        <v>142</v>
      </c>
      <c r="J49">
        <v>556</v>
      </c>
      <c r="K49" t="str">
        <v>Above 100k</v>
      </c>
      <c r="L49">
        <v>46166</v>
      </c>
      <c r="M49">
        <v>0.5</v>
      </c>
      <c r="N49" t="str">
        <v>Permanent</v>
      </c>
      <c r="O49" t="str">
        <v>Chicago</v>
      </c>
      <c r="P49" t="str">
        <v>USA</v>
      </c>
      <c r="Q49">
        <v>6.66</v>
      </c>
      <c r="R49" t="str">
        <v>Freelance</v>
      </c>
    </row>
    <row r="50" spans="4:18">
      <c r="D50" t="str">
        <v>PR98095</v>
      </c>
      <c r="E50" t="str">
        <v>Vasavi</v>
      </c>
      <c r="F50" t="str">
        <v>Walker</v>
      </c>
      <c r="G50" t="str">
        <v>Female</v>
      </c>
      <c r="H50" t="str">
        <v>Human Resources</v>
      </c>
      <c r="I50">
        <v>111</v>
      </c>
      <c r="J50">
        <v>273</v>
      </c>
      <c r="K50" t="str">
        <v>Above 100k</v>
      </c>
      <c r="L50">
        <v>46251</v>
      </c>
      <c r="M50">
        <v>0.4</v>
      </c>
      <c r="N50" t="str">
        <v>Temporary</v>
      </c>
      <c r="O50" t="str">
        <v>Chicago</v>
      </c>
      <c r="P50" t="str">
        <v>USA</v>
      </c>
      <c r="Q50">
        <v>2.4</v>
      </c>
      <c r="R50" t="str">
        <v>Contract</v>
      </c>
    </row>
    <row r="51" spans="4:18">
      <c r="D51" t="str">
        <v>PR61061</v>
      </c>
      <c r="E51" t="str">
        <v>Petra</v>
      </c>
      <c r="F51" t="str">
        <v>Torres</v>
      </c>
      <c r="G51" t="str">
        <v>Female</v>
      </c>
      <c r="H51" t="str">
        <v>Engineering</v>
      </c>
      <c r="I51">
        <v>136</v>
      </c>
      <c r="J51">
        <v>196</v>
      </c>
      <c r="K51" t="str">
        <v>Above 100k</v>
      </c>
      <c r="L51">
        <v>46288</v>
      </c>
      <c r="M51">
        <v>0.8</v>
      </c>
      <c r="N51" t="str">
        <v>Permanent</v>
      </c>
      <c r="O51" t="str">
        <v>Tokyo</v>
      </c>
      <c r="P51" t="str">
        <v>Japan</v>
      </c>
      <c r="Q51">
        <v>7.36</v>
      </c>
      <c r="R51" t="str">
        <v>Full time</v>
      </c>
    </row>
    <row r="52" spans="4:18">
      <c r="D52" t="str">
        <v>PR91052</v>
      </c>
      <c r="E52" t="str">
        <v>Gerhard</v>
      </c>
      <c r="F52" t="str">
        <v>Flores</v>
      </c>
      <c r="G52" t="str">
        <v>Male</v>
      </c>
      <c r="H52" t="str">
        <v>Customer Service</v>
      </c>
      <c r="I52">
        <v>121</v>
      </c>
      <c r="J52">
        <v>556</v>
      </c>
      <c r="K52" t="str">
        <v>Above 100k</v>
      </c>
      <c r="L52">
        <v>46160</v>
      </c>
      <c r="M52">
        <v>0.8</v>
      </c>
      <c r="N52" t="str">
        <v>Permanent</v>
      </c>
      <c r="O52" t="str">
        <v>Tokyo</v>
      </c>
      <c r="P52" t="str">
        <v>Japan</v>
      </c>
      <c r="Q52">
        <v>6.99</v>
      </c>
      <c r="R52" t="str">
        <v>Part time</v>
      </c>
    </row>
    <row r="53" spans="4:18">
      <c r="D53" t="str">
        <v>PR35851</v>
      </c>
      <c r="E53" t="str">
        <v>Siegfried</v>
      </c>
      <c r="F53" t="str">
        <v>Wilson</v>
      </c>
      <c r="G53" t="str">
        <v>Female</v>
      </c>
      <c r="H53" t="str">
        <v>Research and Development</v>
      </c>
      <c r="I53">
        <v>132</v>
      </c>
      <c r="J53">
        <v>608</v>
      </c>
      <c r="K53" t="str">
        <v>Above 100k</v>
      </c>
      <c r="L53">
        <v>46374</v>
      </c>
      <c r="M53">
        <v>0.7</v>
      </c>
      <c r="N53" t="str">
        <v>Temporary</v>
      </c>
      <c r="O53" t="str">
        <v>London</v>
      </c>
      <c r="P53" t="str">
        <v>UK</v>
      </c>
      <c r="Q53">
        <v>4.26</v>
      </c>
      <c r="R53" t="str">
        <v>Part time</v>
      </c>
    </row>
    <row r="54" spans="4:18">
      <c r="D54" t="str">
        <v>PR82422</v>
      </c>
      <c r="E54" t="str">
        <v>Ingrid</v>
      </c>
      <c r="F54" t="str">
        <v>Shipsey</v>
      </c>
      <c r="G54" t="str">
        <v>Male</v>
      </c>
      <c r="H54" t="str">
        <v>Research and Development</v>
      </c>
      <c r="I54">
        <v>151</v>
      </c>
      <c r="J54">
        <v>394</v>
      </c>
      <c r="K54" t="str">
        <v>Above 100k</v>
      </c>
      <c r="L54">
        <v>46069</v>
      </c>
      <c r="M54">
        <v>0.4</v>
      </c>
      <c r="N54" t="str">
        <v>Permanent</v>
      </c>
      <c r="O54" t="str">
        <v>Tokyo</v>
      </c>
      <c r="P54" t="str">
        <v>Japan</v>
      </c>
      <c r="Q54">
        <v>1.44</v>
      </c>
      <c r="R54" t="str">
        <v>Freelance</v>
      </c>
    </row>
    <row r="55" spans="4:18">
      <c r="D55" t="str">
        <v>PR70509</v>
      </c>
      <c r="E55" t="str">
        <v>Hogan</v>
      </c>
      <c r="F55" t="str">
        <v>Perez</v>
      </c>
      <c r="G55" t="str">
        <v>Male</v>
      </c>
      <c r="H55" t="str">
        <v>Accounting</v>
      </c>
      <c r="I55">
        <v>111</v>
      </c>
      <c r="J55">
        <v>191</v>
      </c>
      <c r="K55" t="str">
        <v>Above 100k</v>
      </c>
      <c r="L55">
        <v>46200</v>
      </c>
      <c r="M55">
        <v>0.9</v>
      </c>
      <c r="N55" t="str">
        <v>Temporary</v>
      </c>
      <c r="O55" t="str">
        <v>Chicago</v>
      </c>
      <c r="P55" t="str">
        <v>USA</v>
      </c>
      <c r="Q55">
        <v>9.6199999999999992</v>
      </c>
      <c r="R55" t="str">
        <v>Full time</v>
      </c>
    </row>
    <row r="56" spans="4:18">
      <c r="D56" t="str">
        <v>PR26226</v>
      </c>
      <c r="E56" t="str">
        <v>Günter</v>
      </c>
      <c r="F56" t="str">
        <v>Chapelbow</v>
      </c>
      <c r="G56" t="str">
        <v>Female</v>
      </c>
      <c r="H56" t="str">
        <v>IT</v>
      </c>
      <c r="I56">
        <v>153</v>
      </c>
      <c r="J56">
        <v>865</v>
      </c>
      <c r="K56" t="str">
        <v>Above 100k</v>
      </c>
      <c r="L56">
        <v>46084</v>
      </c>
      <c r="M56">
        <v>0.4</v>
      </c>
      <c r="N56" t="str">
        <v>Contract</v>
      </c>
      <c r="O56" t="str">
        <v>Mumbai</v>
      </c>
      <c r="P56" t="str">
        <v>India</v>
      </c>
      <c r="Q56">
        <v>5.44</v>
      </c>
      <c r="R56" t="str">
        <v>Contract</v>
      </c>
    </row>
    <row r="57" spans="4:18">
      <c r="D57" t="str">
        <v>PR13247</v>
      </c>
      <c r="E57" t="str">
        <v>Dieter</v>
      </c>
      <c r="F57" t="str">
        <v>Torres</v>
      </c>
      <c r="G57" t="str">
        <v>Female</v>
      </c>
      <c r="H57" t="str">
        <v>Engineering</v>
      </c>
      <c r="I57">
        <v>119</v>
      </c>
      <c r="J57">
        <v>700</v>
      </c>
      <c r="K57" t="str">
        <v>Above 100k</v>
      </c>
      <c r="L57">
        <v>46105</v>
      </c>
      <c r="M57">
        <v>0.4</v>
      </c>
      <c r="N57" t="str">
        <v>Permanent</v>
      </c>
      <c r="O57" t="str">
        <v>Paris</v>
      </c>
      <c r="P57" t="str">
        <v>France</v>
      </c>
      <c r="Q57">
        <v>3.98</v>
      </c>
      <c r="R57" t="str">
        <v>Full time</v>
      </c>
    </row>
    <row r="58" spans="4:18">
      <c r="D58" t="str">
        <v>PR44590</v>
      </c>
      <c r="E58" t="str">
        <v>Ingrid</v>
      </c>
      <c r="F58" t="str">
        <v>Green</v>
      </c>
      <c r="G58" t="str">
        <v>Female</v>
      </c>
      <c r="H58" t="str">
        <v>Legal</v>
      </c>
      <c r="I58">
        <v>176</v>
      </c>
      <c r="J58">
        <v>441</v>
      </c>
      <c r="K58" t="str">
        <v>Above 100k</v>
      </c>
      <c r="L58">
        <v>46332</v>
      </c>
      <c r="M58">
        <v>0.5</v>
      </c>
      <c r="N58" t="str">
        <v>Contract</v>
      </c>
      <c r="O58" t="str">
        <v>Chicago</v>
      </c>
      <c r="P58" t="str">
        <v>USA</v>
      </c>
      <c r="Q58">
        <v>8.7200000000000006</v>
      </c>
      <c r="R58" t="str">
        <v>Freelance</v>
      </c>
    </row>
    <row r="59" spans="4:18">
      <c r="D59" t="str">
        <v>PR11905</v>
      </c>
      <c r="E59" t="str">
        <v>Husein</v>
      </c>
      <c r="F59" t="str">
        <v>Walker</v>
      </c>
      <c r="G59" t="str">
        <v>Male</v>
      </c>
      <c r="H59" t="str">
        <v>Engineering</v>
      </c>
      <c r="I59">
        <v>146</v>
      </c>
      <c r="J59">
        <v>410</v>
      </c>
      <c r="K59" t="str">
        <v>Above 100k</v>
      </c>
      <c r="L59">
        <v>46377</v>
      </c>
      <c r="M59">
        <v>0.8</v>
      </c>
      <c r="N59" t="str">
        <v>Temporary</v>
      </c>
      <c r="O59" t="str">
        <v>New York</v>
      </c>
      <c r="P59" t="str">
        <v>USA</v>
      </c>
      <c r="Q59">
        <v>1.6</v>
      </c>
      <c r="R59" t="str">
        <v>Freelance</v>
      </c>
    </row>
    <row r="60" spans="4:18">
      <c r="D60" t="str">
        <v>PR27029</v>
      </c>
      <c r="E60" t="str">
        <v>Vasavi</v>
      </c>
      <c r="F60" t="str">
        <v>Martin</v>
      </c>
      <c r="G60" t="str">
        <v>Female</v>
      </c>
      <c r="H60" t="str">
        <v>Customer Service</v>
      </c>
      <c r="I60">
        <v>173</v>
      </c>
      <c r="J60">
        <v>802</v>
      </c>
      <c r="K60" t="str">
        <v>Above 100k</v>
      </c>
      <c r="L60">
        <v>46119</v>
      </c>
      <c r="M60">
        <v>0.3</v>
      </c>
      <c r="N60" t="str">
        <v>Contract</v>
      </c>
      <c r="O60" t="str">
        <v>Paris</v>
      </c>
      <c r="P60" t="str">
        <v>France</v>
      </c>
      <c r="Q60">
        <v>8.51</v>
      </c>
      <c r="R60" t="str">
        <v>Full time</v>
      </c>
    </row>
    <row r="61" spans="4:18">
      <c r="D61" t="str">
        <v>PR87418</v>
      </c>
      <c r="E61" t="str">
        <v>Monika</v>
      </c>
      <c r="F61" t="str">
        <v>Nelson</v>
      </c>
      <c r="G61" t="str">
        <v>Male</v>
      </c>
      <c r="H61" t="str">
        <v>Accounting</v>
      </c>
      <c r="I61">
        <v>172</v>
      </c>
      <c r="J61">
        <v>245</v>
      </c>
      <c r="K61" t="str">
        <v>Above 100k</v>
      </c>
      <c r="L61">
        <v>46037</v>
      </c>
      <c r="M61">
        <v>0.9</v>
      </c>
      <c r="N61" t="str">
        <v>Permanent</v>
      </c>
      <c r="O61" t="str">
        <v>Dubai</v>
      </c>
      <c r="P61" t="str">
        <v>UAE</v>
      </c>
      <c r="Q61">
        <v>0.8</v>
      </c>
      <c r="R61" t="str">
        <v>Contract</v>
      </c>
    </row>
    <row r="62" spans="4:18">
      <c r="D62" t="str">
        <v>PR29693</v>
      </c>
      <c r="E62" t="str">
        <v>Lisa</v>
      </c>
      <c r="F62" t="str">
        <v>Brown</v>
      </c>
      <c r="G62" t="str">
        <v>Female</v>
      </c>
      <c r="H62" t="str">
        <v>Training</v>
      </c>
      <c r="I62">
        <v>126</v>
      </c>
      <c r="J62">
        <v>76</v>
      </c>
      <c r="K62" t="str">
        <v>Above 100k</v>
      </c>
      <c r="L62">
        <v>46095</v>
      </c>
      <c r="M62">
        <v>0.9</v>
      </c>
      <c r="N62" t="str">
        <v>Temporary</v>
      </c>
      <c r="O62" t="str">
        <v>Tokyo</v>
      </c>
      <c r="P62" t="str">
        <v>Japan</v>
      </c>
      <c r="Q62">
        <v>8.27</v>
      </c>
      <c r="R62" t="str">
        <v>Contract</v>
      </c>
    </row>
    <row r="63" spans="4:18">
      <c r="D63" t="str">
        <v>PR21481</v>
      </c>
      <c r="E63" t="str">
        <v>Waltraud</v>
      </c>
      <c r="F63" t="str">
        <v>Johnson</v>
      </c>
      <c r="G63" t="str">
        <v>Male</v>
      </c>
      <c r="H63" t="str">
        <v>Marketing</v>
      </c>
      <c r="I63">
        <v>138</v>
      </c>
      <c r="J63">
        <v>440</v>
      </c>
      <c r="K63" t="str">
        <v>Above 100k</v>
      </c>
      <c r="L63">
        <v>46223</v>
      </c>
      <c r="M63">
        <v>0.9</v>
      </c>
      <c r="N63" t="str">
        <v>Contract</v>
      </c>
      <c r="O63" t="str">
        <v>New York</v>
      </c>
      <c r="P63" t="str">
        <v>USA</v>
      </c>
      <c r="Q63">
        <v>5.62</v>
      </c>
      <c r="R63" t="str">
        <v>Part time</v>
      </c>
    </row>
    <row r="64" spans="4:18">
      <c r="D64" t="str">
        <v>PR42301</v>
      </c>
      <c r="E64" t="str">
        <v>Laura</v>
      </c>
      <c r="F64" t="str">
        <v>Williams</v>
      </c>
      <c r="G64" t="str">
        <v>Female</v>
      </c>
      <c r="H64" t="str">
        <v>Sales</v>
      </c>
      <c r="I64">
        <v>175</v>
      </c>
      <c r="J64">
        <v>251</v>
      </c>
      <c r="K64" t="str">
        <v>Above 100k</v>
      </c>
      <c r="L64">
        <v>46251</v>
      </c>
      <c r="M64">
        <v>0.6</v>
      </c>
      <c r="N64" t="str">
        <v>Permanent</v>
      </c>
      <c r="O64" t="str">
        <v>Hyderabad</v>
      </c>
      <c r="P64" t="str">
        <v>India</v>
      </c>
      <c r="Q64">
        <v>1.46</v>
      </c>
      <c r="R64" t="str">
        <v>Full time</v>
      </c>
    </row>
    <row r="65" spans="4:18">
      <c r="D65" t="str">
        <v>PR20780</v>
      </c>
      <c r="E65" t="str">
        <v>Stefan</v>
      </c>
      <c r="F65" t="str">
        <v>Wilson</v>
      </c>
      <c r="G65" t="str">
        <v>Female</v>
      </c>
      <c r="H65" t="str">
        <v>Sales</v>
      </c>
      <c r="I65">
        <v>150</v>
      </c>
      <c r="J65">
        <v>986</v>
      </c>
      <c r="K65" t="str">
        <v>Above 100k</v>
      </c>
      <c r="L65">
        <v>46191</v>
      </c>
      <c r="M65">
        <v>0.8</v>
      </c>
      <c r="N65" t="str">
        <v>Temporary</v>
      </c>
      <c r="O65" t="str">
        <v>Sydney</v>
      </c>
      <c r="P65" t="str">
        <v>Australia</v>
      </c>
      <c r="Q65">
        <v>7.14</v>
      </c>
      <c r="R65" t="str">
        <v>Freelance</v>
      </c>
    </row>
    <row r="66" spans="4:18">
      <c r="D66" t="str">
        <v>PR49683</v>
      </c>
      <c r="E66" t="str">
        <v>Rainer</v>
      </c>
      <c r="F66" t="str">
        <v>Adams</v>
      </c>
      <c r="G66" t="str">
        <v>Male</v>
      </c>
      <c r="H66" t="str">
        <v>Product Management</v>
      </c>
      <c r="I66">
        <v>154</v>
      </c>
      <c r="J66">
        <v>514</v>
      </c>
      <c r="K66" t="str">
        <v>Above 100k</v>
      </c>
      <c r="L66">
        <v>46243</v>
      </c>
      <c r="M66">
        <v>0.8</v>
      </c>
      <c r="N66" t="str">
        <v>Contract</v>
      </c>
      <c r="O66" t="str">
        <v>Chicago</v>
      </c>
      <c r="P66" t="str">
        <v>USA</v>
      </c>
      <c r="Q66">
        <v>7.56</v>
      </c>
      <c r="R66" t="str">
        <v>Full time</v>
      </c>
    </row>
    <row r="67" spans="4:18">
      <c r="D67" t="str">
        <v>PR55285</v>
      </c>
      <c r="E67" t="str">
        <v>Anna</v>
      </c>
      <c r="F67" t="str">
        <v>Perez</v>
      </c>
      <c r="G67" t="str">
        <v>Female</v>
      </c>
      <c r="H67" t="str">
        <v>Training</v>
      </c>
      <c r="I67">
        <v>108</v>
      </c>
      <c r="J67">
        <v>512</v>
      </c>
      <c r="K67" t="str">
        <v>Above 100k</v>
      </c>
      <c r="L67">
        <v>46176</v>
      </c>
      <c r="M67">
        <v>0.6</v>
      </c>
      <c r="N67" t="str">
        <v>Temporary</v>
      </c>
      <c r="O67" t="str">
        <v>London</v>
      </c>
      <c r="P67" t="str">
        <v>UK</v>
      </c>
      <c r="Q67">
        <v>9.43</v>
      </c>
      <c r="R67" t="str">
        <v>Freelance</v>
      </c>
    </row>
    <row r="68" spans="4:18">
      <c r="D68" t="str">
        <v>PR39332</v>
      </c>
      <c r="E68" t="str">
        <v>Helmut</v>
      </c>
      <c r="F68" t="str">
        <v>Clark</v>
      </c>
      <c r="G68" t="str">
        <v>Female</v>
      </c>
      <c r="H68" t="str">
        <v>Business Development</v>
      </c>
      <c r="I68">
        <v>133</v>
      </c>
      <c r="J68">
        <v>980</v>
      </c>
      <c r="K68" t="str">
        <v>Above 100k</v>
      </c>
      <c r="L68">
        <v>46304</v>
      </c>
      <c r="M68">
        <v>1</v>
      </c>
      <c r="N68" t="str">
        <v>Permanent</v>
      </c>
      <c r="O68" t="str">
        <v>Singapore</v>
      </c>
      <c r="P68">
        <v>6.6</v>
      </c>
      <c r="Q68" t="str">
        <v>Freelance</v>
      </c>
      <c r="R68">
        <v>0</v>
      </c>
    </row>
    <row r="69" spans="4:18">
      <c r="D69" t="str">
        <v>PR57546</v>
      </c>
      <c r="E69" t="str">
        <v>Devrat</v>
      </c>
      <c r="F69" t="str">
        <v>Thomas</v>
      </c>
      <c r="G69" t="str">
        <v>Female</v>
      </c>
      <c r="H69" t="str">
        <v>Training</v>
      </c>
      <c r="I69">
        <v>178</v>
      </c>
      <c r="J69">
        <v>35</v>
      </c>
      <c r="K69" t="str">
        <v>Above 100k</v>
      </c>
      <c r="L69">
        <v>46373</v>
      </c>
      <c r="M69">
        <v>0.4</v>
      </c>
      <c r="N69" t="str">
        <v>Contract</v>
      </c>
      <c r="O69" t="str">
        <v>Berlin</v>
      </c>
      <c r="P69" t="str">
        <v>Germany</v>
      </c>
      <c r="Q69">
        <v>1.47</v>
      </c>
      <c r="R69" t="str">
        <v>Contract</v>
      </c>
    </row>
    <row r="70" spans="4:18">
      <c r="D70" t="str">
        <v>PR40493</v>
      </c>
      <c r="E70" t="str">
        <v>Jill</v>
      </c>
      <c r="F70" t="str">
        <v>Evans</v>
      </c>
      <c r="G70" t="str">
        <v>Female</v>
      </c>
      <c r="H70" t="str">
        <v>Data Analytics</v>
      </c>
      <c r="I70">
        <v>165</v>
      </c>
      <c r="J70">
        <v>454</v>
      </c>
      <c r="K70" t="str">
        <v>Above 100k</v>
      </c>
      <c r="L70">
        <v>46270</v>
      </c>
      <c r="M70">
        <v>0.7</v>
      </c>
      <c r="N70" t="str">
        <v>Permanent</v>
      </c>
      <c r="O70" t="str">
        <v>London</v>
      </c>
      <c r="P70" t="str">
        <v>UK</v>
      </c>
      <c r="Q70">
        <v>4.49</v>
      </c>
      <c r="R70" t="str">
        <v>Part time</v>
      </c>
    </row>
    <row r="71" spans="4:18">
      <c r="D71" t="str">
        <v>PR27384</v>
      </c>
      <c r="E71" t="str">
        <v>Robert</v>
      </c>
      <c r="F71" t="str">
        <v>Veeravasarapu</v>
      </c>
      <c r="G71" t="str">
        <v>Male</v>
      </c>
      <c r="H71" t="str">
        <v>Accounting</v>
      </c>
      <c r="I71">
        <v>175</v>
      </c>
      <c r="J71">
        <v>716</v>
      </c>
      <c r="K71" t="str">
        <v>Above 100k</v>
      </c>
      <c r="L71">
        <v>46379</v>
      </c>
      <c r="M71">
        <v>0.4</v>
      </c>
      <c r="N71" t="str">
        <v>Contract</v>
      </c>
      <c r="O71" t="str">
        <v>Berlin</v>
      </c>
      <c r="P71" t="str">
        <v>Germany</v>
      </c>
      <c r="Q71">
        <v>2.37</v>
      </c>
      <c r="R71" t="str">
        <v>Freelance</v>
      </c>
    </row>
    <row r="72" spans="4:18">
      <c r="D72" t="str">
        <v>PR52722</v>
      </c>
      <c r="E72" t="str">
        <v>Laura</v>
      </c>
      <c r="F72" t="str">
        <v>Brown</v>
      </c>
      <c r="G72" t="str">
        <v>Female</v>
      </c>
      <c r="H72" t="str">
        <v>Customer Service</v>
      </c>
      <c r="I72">
        <v>170</v>
      </c>
      <c r="J72">
        <v>357</v>
      </c>
      <c r="K72" t="str">
        <v>Above 100k</v>
      </c>
      <c r="L72">
        <v>46258</v>
      </c>
      <c r="M72">
        <v>1</v>
      </c>
      <c r="N72" t="str">
        <v>Contract</v>
      </c>
      <c r="O72" t="str">
        <v>Hyderabad</v>
      </c>
      <c r="P72" t="str">
        <v>India</v>
      </c>
      <c r="Q72">
        <v>0.81</v>
      </c>
      <c r="R72" t="str">
        <v>Full time</v>
      </c>
    </row>
    <row r="73" spans="4:18">
      <c r="D73" t="str">
        <v>PR71709</v>
      </c>
      <c r="E73" t="str">
        <v>Monika</v>
      </c>
      <c r="F73" t="str">
        <v>Johnson</v>
      </c>
      <c r="G73" t="str">
        <v>Male</v>
      </c>
      <c r="H73" t="str">
        <v>Engineering</v>
      </c>
      <c r="I73">
        <v>129</v>
      </c>
      <c r="J73">
        <v>655</v>
      </c>
      <c r="K73" t="str">
        <v>Above 100k</v>
      </c>
      <c r="L73">
        <v>46222</v>
      </c>
      <c r="M73">
        <v>0.6</v>
      </c>
      <c r="N73" t="str">
        <v>Temporary</v>
      </c>
      <c r="O73" t="str">
        <v>Toronto</v>
      </c>
      <c r="P73" t="str">
        <v>Canada</v>
      </c>
      <c r="Q73">
        <v>3.57</v>
      </c>
      <c r="R73" t="str">
        <v>Part time</v>
      </c>
    </row>
    <row r="74" spans="4:18">
      <c r="D74" t="str">
        <v>PR15721</v>
      </c>
      <c r="E74" t="str">
        <v>Devrat</v>
      </c>
      <c r="F74" t="str">
        <v>Jones</v>
      </c>
      <c r="G74" t="str">
        <v>Female</v>
      </c>
      <c r="H74" t="str">
        <v>IT</v>
      </c>
      <c r="I74">
        <v>159</v>
      </c>
      <c r="J74">
        <v>394</v>
      </c>
      <c r="K74" t="str">
        <v>Above 100k</v>
      </c>
      <c r="L74">
        <v>46083</v>
      </c>
      <c r="M74">
        <v>0.4</v>
      </c>
      <c r="N74" t="str">
        <v>Permanent</v>
      </c>
      <c r="O74" t="str">
        <v>Mumbai</v>
      </c>
      <c r="P74" t="str">
        <v>India</v>
      </c>
      <c r="Q74">
        <v>0.63</v>
      </c>
      <c r="R74" t="str">
        <v>Full time</v>
      </c>
    </row>
    <row r="75" spans="4:18">
      <c r="D75" t="str">
        <v>PR79291</v>
      </c>
      <c r="E75" t="str">
        <v>Markus</v>
      </c>
      <c r="F75" t="str">
        <v>Jones</v>
      </c>
      <c r="G75" t="str">
        <v>Female</v>
      </c>
      <c r="H75" t="str">
        <v>Human Resources</v>
      </c>
      <c r="I75">
        <v>144</v>
      </c>
      <c r="J75">
        <v>164</v>
      </c>
      <c r="K75" t="str">
        <v>Above 100k</v>
      </c>
      <c r="L75">
        <v>46387</v>
      </c>
      <c r="M75">
        <v>0.7</v>
      </c>
      <c r="N75" t="str">
        <v>Contract</v>
      </c>
      <c r="O75" t="str">
        <v>Wellington</v>
      </c>
      <c r="P75" t="str">
        <v>New Zealand</v>
      </c>
      <c r="Q75">
        <v>7.94</v>
      </c>
      <c r="R75" t="str">
        <v>Freelance</v>
      </c>
    </row>
    <row r="76" spans="4:18">
      <c r="D76" t="str">
        <v>PR96102</v>
      </c>
      <c r="E76" t="str">
        <v>Siegfried</v>
      </c>
      <c r="F76" t="str">
        <v>Taylor</v>
      </c>
      <c r="G76" t="str">
        <v>Male</v>
      </c>
      <c r="H76" t="str">
        <v>Operations</v>
      </c>
      <c r="I76">
        <v>171</v>
      </c>
      <c r="J76">
        <v>961</v>
      </c>
      <c r="K76" t="str">
        <v>Above 100k</v>
      </c>
      <c r="L76">
        <v>46375</v>
      </c>
      <c r="M76">
        <v>0.5</v>
      </c>
      <c r="N76" t="str">
        <v>Permanent</v>
      </c>
      <c r="O76" t="str">
        <v>Tokyo</v>
      </c>
      <c r="P76" t="str">
        <v>Japan</v>
      </c>
      <c r="Q76">
        <v>3.44</v>
      </c>
      <c r="R76" t="str">
        <v>Freelance</v>
      </c>
    </row>
    <row r="77" spans="4:18">
      <c r="D77" t="str">
        <v>PR57148</v>
      </c>
      <c r="E77" t="str">
        <v>Horst</v>
      </c>
      <c r="F77" t="str">
        <v>Brown</v>
      </c>
      <c r="G77" t="str">
        <v>Female</v>
      </c>
      <c r="H77" t="str">
        <v>Training</v>
      </c>
      <c r="I77">
        <v>154</v>
      </c>
      <c r="J77">
        <v>770</v>
      </c>
      <c r="K77" t="str">
        <v>Above 100k</v>
      </c>
      <c r="L77">
        <v>46223</v>
      </c>
      <c r="M77">
        <v>0.5</v>
      </c>
      <c r="N77" t="str">
        <v>Temporary</v>
      </c>
      <c r="O77" t="str">
        <v>Wellington</v>
      </c>
      <c r="P77" t="str">
        <v>New Zealand</v>
      </c>
      <c r="Q77">
        <v>9.7200000000000006</v>
      </c>
      <c r="R77" t="str">
        <v>Part time</v>
      </c>
    </row>
    <row r="78" spans="4:18">
      <c r="D78" t="str">
        <v>PR52184</v>
      </c>
      <c r="E78" t="str">
        <v>Lothar</v>
      </c>
      <c r="F78" t="str">
        <v>Moore</v>
      </c>
      <c r="G78" t="str">
        <v>Female</v>
      </c>
      <c r="H78" t="str">
        <v>Sales</v>
      </c>
      <c r="I78">
        <v>123</v>
      </c>
      <c r="J78">
        <v>398</v>
      </c>
      <c r="K78" t="str">
        <v>Above 100k</v>
      </c>
      <c r="L78">
        <v>46341</v>
      </c>
      <c r="M78">
        <v>0.6</v>
      </c>
      <c r="N78" t="str">
        <v>Temporary</v>
      </c>
      <c r="O78" t="str">
        <v>Dubai</v>
      </c>
      <c r="P78" t="str">
        <v>UAE</v>
      </c>
      <c r="Q78">
        <v>7.06</v>
      </c>
      <c r="R78" t="str">
        <v>Contract</v>
      </c>
    </row>
    <row r="79" spans="4:18">
      <c r="D79" t="str">
        <v>PR34112</v>
      </c>
      <c r="E79" t="str">
        <v>Markus</v>
      </c>
      <c r="F79" t="str">
        <v>Martinez</v>
      </c>
      <c r="G79" t="str">
        <v>Male</v>
      </c>
      <c r="H79" t="str">
        <v>Research and Development</v>
      </c>
      <c r="I79">
        <v>118</v>
      </c>
      <c r="J79">
        <v>325</v>
      </c>
      <c r="K79" t="str">
        <v>Above 100k</v>
      </c>
      <c r="L79">
        <v>46031</v>
      </c>
      <c r="M79">
        <v>0.6</v>
      </c>
      <c r="N79" t="str">
        <v>Temporary</v>
      </c>
      <c r="O79" t="str">
        <v>Toronto</v>
      </c>
      <c r="P79" t="str">
        <v>Canada</v>
      </c>
      <c r="Q79">
        <v>4.37</v>
      </c>
      <c r="R79" t="str">
        <v>Part time</v>
      </c>
    </row>
    <row r="80" spans="4:18">
      <c r="D80" t="str">
        <v>PR78504</v>
      </c>
      <c r="E80" t="str">
        <v>Siegfried</v>
      </c>
      <c r="F80" t="str">
        <v>Shipsey</v>
      </c>
      <c r="G80" t="str">
        <v>Male</v>
      </c>
      <c r="H80" t="str">
        <v>Finance</v>
      </c>
      <c r="I80">
        <v>138</v>
      </c>
      <c r="J80">
        <v>238</v>
      </c>
      <c r="K80" t="str">
        <v>Above 100k</v>
      </c>
      <c r="L80">
        <v>46171</v>
      </c>
      <c r="M80">
        <v>0.4</v>
      </c>
      <c r="N80" t="str">
        <v>Contract</v>
      </c>
      <c r="O80" t="str">
        <v>Sydney</v>
      </c>
      <c r="P80" t="str">
        <v>Australia</v>
      </c>
      <c r="Q80">
        <v>2.93</v>
      </c>
      <c r="R80" t="str">
        <v>Contract</v>
      </c>
    </row>
    <row r="81" spans="4:18">
      <c r="D81" t="str">
        <v>PR30716</v>
      </c>
      <c r="E81" t="str">
        <v>Anna</v>
      </c>
      <c r="F81" t="str">
        <v>Garcia</v>
      </c>
      <c r="G81" t="str">
        <v>Female</v>
      </c>
      <c r="H81" t="str">
        <v>Sales</v>
      </c>
      <c r="I81">
        <v>115</v>
      </c>
      <c r="J81">
        <v>877</v>
      </c>
      <c r="K81" t="str">
        <v>Above 100k</v>
      </c>
      <c r="L81">
        <v>46053</v>
      </c>
      <c r="M81">
        <v>0.5</v>
      </c>
      <c r="N81" t="str">
        <v>Permanent</v>
      </c>
      <c r="O81" t="str">
        <v>Berlin</v>
      </c>
      <c r="P81" t="str">
        <v>Germany</v>
      </c>
      <c r="Q81">
        <v>2.34</v>
      </c>
      <c r="R81" t="str">
        <v>Freelance</v>
      </c>
    </row>
    <row r="82" spans="4:18">
      <c r="D82" t="str">
        <v>PR74683</v>
      </c>
      <c r="E82" t="str">
        <v>Elfriede</v>
      </c>
      <c r="F82" t="str">
        <v>Ricardot</v>
      </c>
      <c r="G82" t="str">
        <v>Male</v>
      </c>
      <c r="H82" t="str">
        <v>Engineering</v>
      </c>
      <c r="I82">
        <v>107</v>
      </c>
      <c r="J82">
        <v>887</v>
      </c>
      <c r="K82" t="str">
        <v>Above 100k</v>
      </c>
      <c r="L82">
        <v>46172</v>
      </c>
      <c r="M82">
        <v>0.9</v>
      </c>
      <c r="N82" t="str">
        <v>Permanent</v>
      </c>
      <c r="O82" t="str">
        <v>Mumbai</v>
      </c>
      <c r="P82" t="str">
        <v>India</v>
      </c>
      <c r="Q82">
        <v>5.94</v>
      </c>
      <c r="R82" t="str">
        <v>Contract</v>
      </c>
    </row>
    <row r="83" spans="4:18">
      <c r="D83" t="str">
        <v>PR27285</v>
      </c>
      <c r="E83" t="str">
        <v>Michael</v>
      </c>
      <c r="F83" t="str">
        <v>Phillips</v>
      </c>
      <c r="G83" t="str">
        <v>Female</v>
      </c>
      <c r="H83" t="str">
        <v>Legal</v>
      </c>
      <c r="I83">
        <v>157</v>
      </c>
      <c r="J83">
        <v>538</v>
      </c>
      <c r="K83" t="str">
        <v>Above 100k</v>
      </c>
      <c r="L83">
        <v>46088</v>
      </c>
      <c r="M83">
        <v>0.7</v>
      </c>
      <c r="N83" t="str">
        <v>Temporary</v>
      </c>
      <c r="O83" t="str">
        <v>Singapore</v>
      </c>
      <c r="P83">
        <v>5.37</v>
      </c>
      <c r="Q83" t="str">
        <v>Contract</v>
      </c>
      <c r="R83">
        <v>0</v>
      </c>
    </row>
    <row r="84" spans="4:18">
      <c r="D84" t="str">
        <v>PR43803</v>
      </c>
      <c r="E84" t="str">
        <v>Julia</v>
      </c>
      <c r="F84" t="str">
        <v>Taylor</v>
      </c>
      <c r="G84" t="str">
        <v>Female</v>
      </c>
      <c r="H84" t="str">
        <v>Accounting</v>
      </c>
      <c r="I84">
        <v>113</v>
      </c>
      <c r="J84">
        <v>947</v>
      </c>
      <c r="K84" t="str">
        <v>Above 100k</v>
      </c>
      <c r="L84">
        <v>46168</v>
      </c>
      <c r="M84">
        <v>0.6</v>
      </c>
      <c r="N84" t="str">
        <v>Contract</v>
      </c>
      <c r="O84" t="str">
        <v>Paris</v>
      </c>
      <c r="P84" t="str">
        <v>France</v>
      </c>
      <c r="Q84">
        <v>0.56999999999999995</v>
      </c>
      <c r="R84" t="str">
        <v>Contract</v>
      </c>
    </row>
    <row r="85" spans="4:18">
      <c r="D85" t="str">
        <v>PR43717</v>
      </c>
      <c r="E85" t="str">
        <v>Lothar</v>
      </c>
      <c r="F85" t="str">
        <v>Taylor</v>
      </c>
      <c r="G85" t="str">
        <v>Male</v>
      </c>
      <c r="H85" t="str">
        <v>Human Resources</v>
      </c>
      <c r="I85">
        <v>168</v>
      </c>
      <c r="J85">
        <v>110</v>
      </c>
      <c r="K85" t="str">
        <v>Above 100k</v>
      </c>
      <c r="L85">
        <v>46222</v>
      </c>
      <c r="M85">
        <v>0.9</v>
      </c>
      <c r="N85" t="str">
        <v>Temporary</v>
      </c>
      <c r="O85" t="str">
        <v>Berlin</v>
      </c>
      <c r="P85" t="str">
        <v>Germany</v>
      </c>
      <c r="Q85">
        <v>0.75</v>
      </c>
      <c r="R85" t="str">
        <v>Full time</v>
      </c>
    </row>
    <row r="86" spans="4:18">
      <c r="D86" t="str">
        <v>PR38157</v>
      </c>
      <c r="E86" t="str">
        <v>Helmut</v>
      </c>
      <c r="F86" t="str">
        <v>Hall</v>
      </c>
      <c r="G86" t="str">
        <v>Male</v>
      </c>
      <c r="H86" t="str">
        <v>Product Management</v>
      </c>
      <c r="I86">
        <v>122</v>
      </c>
      <c r="J86">
        <v>907</v>
      </c>
      <c r="K86" t="str">
        <v>Above 100k</v>
      </c>
      <c r="L86">
        <v>46165</v>
      </c>
      <c r="M86">
        <v>0.5</v>
      </c>
      <c r="N86" t="str">
        <v>Permanent</v>
      </c>
      <c r="O86" t="str">
        <v>Toronto</v>
      </c>
      <c r="P86" t="str">
        <v>Canada</v>
      </c>
      <c r="Q86">
        <v>2.76</v>
      </c>
      <c r="R86" t="str">
        <v>Full time</v>
      </c>
    </row>
    <row r="87" spans="4:18">
      <c r="D87" t="str">
        <v>PR95290</v>
      </c>
      <c r="E87" t="str">
        <v>Beryl</v>
      </c>
      <c r="F87" t="str">
        <v>Taylor</v>
      </c>
      <c r="G87" t="str">
        <v>Female</v>
      </c>
      <c r="H87" t="str">
        <v>Human Resources</v>
      </c>
      <c r="I87">
        <v>158</v>
      </c>
      <c r="J87">
        <v>138</v>
      </c>
      <c r="K87" t="str">
        <v>Above 100k</v>
      </c>
      <c r="L87">
        <v>46350</v>
      </c>
      <c r="M87">
        <v>0.9</v>
      </c>
      <c r="N87" t="str">
        <v>Permanent</v>
      </c>
      <c r="O87" t="str">
        <v>London</v>
      </c>
      <c r="P87" t="str">
        <v>UK</v>
      </c>
      <c r="Q87">
        <v>9.6999999999999993</v>
      </c>
      <c r="R87" t="str">
        <v>Full time</v>
      </c>
    </row>
    <row r="88" spans="4:18">
      <c r="D88" t="str">
        <v>PR89873</v>
      </c>
      <c r="E88" t="str">
        <v>Nicole</v>
      </c>
      <c r="F88" t="str">
        <v>Young</v>
      </c>
      <c r="G88" t="str">
        <v>Female</v>
      </c>
      <c r="H88" t="str">
        <v>Operations</v>
      </c>
      <c r="I88">
        <v>118</v>
      </c>
      <c r="J88">
        <v>89</v>
      </c>
      <c r="K88" t="str">
        <v>Above 100k</v>
      </c>
      <c r="L88">
        <v>46353</v>
      </c>
      <c r="M88">
        <v>0.8</v>
      </c>
      <c r="N88" t="str">
        <v>Contract</v>
      </c>
      <c r="O88" t="str">
        <v>Hyderabad</v>
      </c>
      <c r="P88" t="str">
        <v>India</v>
      </c>
      <c r="Q88">
        <v>2.19</v>
      </c>
      <c r="R88" t="str">
        <v>Freelance</v>
      </c>
    </row>
    <row r="89" spans="4:18">
      <c r="D89" t="str">
        <v>PR36806</v>
      </c>
      <c r="E89" t="str">
        <v>Julia</v>
      </c>
      <c r="F89" t="str">
        <v>Brown</v>
      </c>
      <c r="G89" t="str">
        <v>Male</v>
      </c>
      <c r="H89" t="str">
        <v>Research and Development</v>
      </c>
      <c r="I89">
        <v>133</v>
      </c>
      <c r="J89">
        <v>408</v>
      </c>
      <c r="K89" t="str">
        <v>Above 100k</v>
      </c>
      <c r="L89">
        <v>46163</v>
      </c>
      <c r="M89">
        <v>0.5</v>
      </c>
      <c r="N89" t="str">
        <v>Contract</v>
      </c>
      <c r="O89" t="str">
        <v>Wellington</v>
      </c>
      <c r="P89" t="str">
        <v>New Zealand</v>
      </c>
      <c r="Q89">
        <v>5.51</v>
      </c>
      <c r="R89" t="str">
        <v>Full time</v>
      </c>
    </row>
    <row r="90" spans="4:18">
      <c r="D90" t="str">
        <v>PR91163</v>
      </c>
      <c r="E90" t="str">
        <v>Renate</v>
      </c>
      <c r="F90" t="str">
        <v>Thomas</v>
      </c>
      <c r="G90" t="str">
        <v>Female</v>
      </c>
      <c r="H90" t="str">
        <v>Training</v>
      </c>
      <c r="I90">
        <v>112</v>
      </c>
      <c r="J90">
        <v>631</v>
      </c>
      <c r="K90" t="str">
        <v>Above 100k</v>
      </c>
      <c r="L90">
        <v>46082</v>
      </c>
      <c r="M90">
        <v>1</v>
      </c>
      <c r="N90" t="str">
        <v>Contract</v>
      </c>
      <c r="O90" t="str">
        <v>Singapore</v>
      </c>
      <c r="P90">
        <v>9.41</v>
      </c>
      <c r="Q90" t="str">
        <v>Full time</v>
      </c>
      <c r="R90">
        <v>0</v>
      </c>
    </row>
    <row r="91" spans="4:18">
      <c r="D91" t="str">
        <v>PR42912</v>
      </c>
      <c r="E91" t="str">
        <v>Gerhard</v>
      </c>
      <c r="F91" t="str">
        <v>Veeravasarapu</v>
      </c>
      <c r="G91" t="str">
        <v>Male</v>
      </c>
      <c r="H91" t="str">
        <v>Sales</v>
      </c>
      <c r="I91">
        <v>175</v>
      </c>
      <c r="J91">
        <v>43</v>
      </c>
      <c r="K91" t="str">
        <v>Above 100k</v>
      </c>
      <c r="L91">
        <v>46268</v>
      </c>
      <c r="M91">
        <v>0.7</v>
      </c>
      <c r="N91" t="str">
        <v>Permanent</v>
      </c>
      <c r="O91" t="str">
        <v>Tokyo</v>
      </c>
      <c r="P91" t="str">
        <v>Japan</v>
      </c>
      <c r="Q91">
        <v>2.23</v>
      </c>
      <c r="R91" t="str">
        <v>Part time</v>
      </c>
    </row>
    <row r="92" spans="4:18">
      <c r="D92" t="str">
        <v>PR41114</v>
      </c>
      <c r="E92" t="str">
        <v>Beryl</v>
      </c>
      <c r="F92" t="str">
        <v>Garcia</v>
      </c>
      <c r="G92" t="str">
        <v>Female</v>
      </c>
      <c r="H92" t="str">
        <v>Business Development</v>
      </c>
      <c r="I92">
        <v>159</v>
      </c>
      <c r="J92">
        <v>413</v>
      </c>
      <c r="K92" t="str">
        <v>Above 100k</v>
      </c>
      <c r="L92">
        <v>46149</v>
      </c>
      <c r="M92">
        <v>0.8</v>
      </c>
      <c r="N92" t="str">
        <v>Temporary</v>
      </c>
      <c r="O92" t="str">
        <v>Tokyo</v>
      </c>
      <c r="P92" t="str">
        <v>Japan</v>
      </c>
      <c r="Q92">
        <v>3.5</v>
      </c>
      <c r="R92" t="str">
        <v>Full time</v>
      </c>
    </row>
    <row r="93" spans="4:18">
      <c r="D93" t="str">
        <v>PR93997</v>
      </c>
      <c r="E93" t="str">
        <v>Waltraud</v>
      </c>
      <c r="F93" t="str">
        <v>Collier</v>
      </c>
      <c r="G93" t="str">
        <v>Female</v>
      </c>
      <c r="H93" t="str">
        <v>Customer Service</v>
      </c>
      <c r="I93">
        <v>117</v>
      </c>
      <c r="J93">
        <v>258</v>
      </c>
      <c r="K93" t="str">
        <v>Above 100k</v>
      </c>
      <c r="L93">
        <v>46178</v>
      </c>
      <c r="M93">
        <v>0.5</v>
      </c>
      <c r="N93" t="str">
        <v>Permanent</v>
      </c>
      <c r="O93" t="str">
        <v>Dubai</v>
      </c>
      <c r="P93" t="str">
        <v>UAE</v>
      </c>
      <c r="Q93">
        <v>3.92</v>
      </c>
      <c r="R93" t="str">
        <v>Freelance</v>
      </c>
    </row>
    <row r="94" spans="4:18">
      <c r="D94" t="str">
        <v>PR57427</v>
      </c>
      <c r="E94" t="str">
        <v>Ursula</v>
      </c>
      <c r="F94" t="str">
        <v>Carter</v>
      </c>
      <c r="G94" t="str">
        <v>Female</v>
      </c>
      <c r="H94" t="str">
        <v>Business Development</v>
      </c>
      <c r="I94">
        <v>144</v>
      </c>
      <c r="J94">
        <v>419</v>
      </c>
      <c r="K94" t="str">
        <v>Above 100k</v>
      </c>
      <c r="L94">
        <v>46235</v>
      </c>
      <c r="M94">
        <v>0.9</v>
      </c>
      <c r="N94" t="str">
        <v>Contract</v>
      </c>
      <c r="O94" t="str">
        <v>Columbus</v>
      </c>
      <c r="P94" t="str">
        <v>USA</v>
      </c>
      <c r="Q94">
        <v>6.34</v>
      </c>
      <c r="R94" t="str">
        <v>Full time</v>
      </c>
    </row>
    <row r="95" spans="4:18">
      <c r="D95" t="str">
        <v>PR26397</v>
      </c>
      <c r="E95" t="str">
        <v>Rosemarie</v>
      </c>
      <c r="F95" t="str">
        <v>Damarsingh</v>
      </c>
      <c r="G95" t="str">
        <v>Female</v>
      </c>
      <c r="H95" t="str">
        <v>IT</v>
      </c>
      <c r="I95">
        <v>114</v>
      </c>
      <c r="J95">
        <v>354</v>
      </c>
      <c r="K95" t="str">
        <v>Above 100k</v>
      </c>
      <c r="L95">
        <v>46110</v>
      </c>
      <c r="M95">
        <v>0.4</v>
      </c>
      <c r="N95" t="str">
        <v>Permanent</v>
      </c>
      <c r="O95" t="str">
        <v>Chicago</v>
      </c>
      <c r="P95" t="str">
        <v>USA</v>
      </c>
      <c r="Q95">
        <v>2.0499999999999998</v>
      </c>
      <c r="R95" t="str">
        <v>Part time</v>
      </c>
    </row>
    <row r="96" spans="4:18">
      <c r="D96" t="str">
        <v>PR30859</v>
      </c>
      <c r="E96" t="str">
        <v>Sarah</v>
      </c>
      <c r="F96" t="str">
        <v>Phillips</v>
      </c>
      <c r="G96" t="str">
        <v>Female</v>
      </c>
      <c r="H96" t="str">
        <v>Product Management</v>
      </c>
      <c r="I96">
        <v>140</v>
      </c>
      <c r="J96">
        <v>826</v>
      </c>
      <c r="K96" t="str">
        <v>Above 100k</v>
      </c>
      <c r="L96">
        <v>46289</v>
      </c>
      <c r="M96">
        <v>0.4</v>
      </c>
      <c r="N96" t="str">
        <v>Temporary</v>
      </c>
      <c r="O96" t="str">
        <v>Berlin</v>
      </c>
      <c r="P96" t="str">
        <v>Germany</v>
      </c>
      <c r="Q96">
        <v>5.37</v>
      </c>
      <c r="R96" t="str">
        <v>Contract</v>
      </c>
    </row>
    <row r="97" spans="4:18">
      <c r="D97" t="str">
        <v>PR10185</v>
      </c>
      <c r="E97" t="str">
        <v>Torrance</v>
      </c>
      <c r="F97" t="str">
        <v>Anderson</v>
      </c>
      <c r="G97" t="str">
        <v>Female</v>
      </c>
      <c r="H97" t="str">
        <v>Data Analytics</v>
      </c>
      <c r="I97">
        <v>146</v>
      </c>
      <c r="J97">
        <v>693</v>
      </c>
      <c r="K97" t="str">
        <v>Above 100k</v>
      </c>
      <c r="L97">
        <v>46178</v>
      </c>
      <c r="M97">
        <v>1</v>
      </c>
      <c r="N97" t="str">
        <v>Temporary</v>
      </c>
      <c r="O97" t="str">
        <v>Tokyo</v>
      </c>
      <c r="P97" t="str">
        <v>Japan</v>
      </c>
      <c r="Q97">
        <v>1.78</v>
      </c>
      <c r="R97" t="str">
        <v>Full time</v>
      </c>
    </row>
    <row r="98" spans="4:18">
      <c r="D98" t="str">
        <v>PR40888</v>
      </c>
      <c r="E98" t="str">
        <v>Gerhard</v>
      </c>
      <c r="F98" t="str">
        <v>Shipsey</v>
      </c>
      <c r="G98" t="str">
        <v>Male</v>
      </c>
      <c r="H98" t="str">
        <v>Sales</v>
      </c>
      <c r="I98">
        <v>163</v>
      </c>
      <c r="J98">
        <v>969</v>
      </c>
      <c r="K98" t="str">
        <v>Above 100k</v>
      </c>
      <c r="L98">
        <v>46184</v>
      </c>
      <c r="M98">
        <v>0.7</v>
      </c>
      <c r="N98" t="str">
        <v>Permanent</v>
      </c>
      <c r="O98" t="str">
        <v>New York</v>
      </c>
      <c r="P98" t="str">
        <v>USA</v>
      </c>
      <c r="Q98">
        <v>6.19</v>
      </c>
      <c r="R98" t="str">
        <v>Freelance</v>
      </c>
    </row>
    <row r="99" spans="4:18">
      <c r="D99" t="str">
        <v>PR45447</v>
      </c>
      <c r="E99" t="str">
        <v>Andreas</v>
      </c>
      <c r="F99" t="str">
        <v>Walker</v>
      </c>
      <c r="G99" t="str">
        <v>Female</v>
      </c>
      <c r="H99" t="str">
        <v>Engineering</v>
      </c>
      <c r="I99">
        <v>136</v>
      </c>
      <c r="J99">
        <v>505</v>
      </c>
      <c r="K99" t="str">
        <v>Above 100k</v>
      </c>
      <c r="L99">
        <v>46322</v>
      </c>
      <c r="M99">
        <v>0.5</v>
      </c>
      <c r="N99" t="str">
        <v>Permanent</v>
      </c>
      <c r="O99" t="str">
        <v>Dubai</v>
      </c>
      <c r="P99" t="str">
        <v>UAE</v>
      </c>
      <c r="Q99">
        <v>7.14</v>
      </c>
      <c r="R99" t="str">
        <v>Part time</v>
      </c>
    </row>
    <row r="100" spans="4:18">
      <c r="D100" t="str">
        <v>PR36193</v>
      </c>
      <c r="E100" t="str">
        <v>Hannelore</v>
      </c>
      <c r="F100" t="str">
        <v>Thomas</v>
      </c>
      <c r="G100" t="str">
        <v>Male</v>
      </c>
      <c r="H100" t="str">
        <v>Research and Development</v>
      </c>
      <c r="I100">
        <v>135</v>
      </c>
      <c r="J100">
        <v>22</v>
      </c>
      <c r="K100" t="str">
        <v>Above 100k</v>
      </c>
      <c r="L100">
        <v>46027</v>
      </c>
      <c r="M100">
        <v>1</v>
      </c>
      <c r="N100" t="str">
        <v>Temporary</v>
      </c>
      <c r="O100" t="str">
        <v>Berlin</v>
      </c>
      <c r="P100" t="str">
        <v>Germany</v>
      </c>
      <c r="Q100">
        <v>7.4</v>
      </c>
      <c r="R100" t="str">
        <v>Freelance</v>
      </c>
    </row>
    <row r="101" spans="4:18">
      <c r="D101" t="str">
        <v>PR29636</v>
      </c>
      <c r="E101" t="str">
        <v>Emma</v>
      </c>
      <c r="F101" t="str">
        <v>Taylor</v>
      </c>
      <c r="G101" t="str">
        <v>Male</v>
      </c>
      <c r="H101" t="str">
        <v>Legal</v>
      </c>
      <c r="I101">
        <v>146</v>
      </c>
      <c r="J101">
        <v>110</v>
      </c>
      <c r="K101" t="str">
        <v>Above 100k</v>
      </c>
      <c r="L101">
        <v>46193</v>
      </c>
      <c r="M101">
        <v>0.8</v>
      </c>
      <c r="N101" t="str">
        <v>Contract</v>
      </c>
      <c r="O101" t="str">
        <v>Dubai</v>
      </c>
      <c r="P101" t="str">
        <v>UAE</v>
      </c>
      <c r="Q101">
        <v>5.51</v>
      </c>
      <c r="R101" t="str">
        <v>Part time</v>
      </c>
    </row>
    <row r="102" spans="4:18">
      <c r="D102" t="str">
        <v>PR73573</v>
      </c>
      <c r="E102" t="str">
        <v>Konrad</v>
      </c>
      <c r="F102" t="str">
        <v>Martinez</v>
      </c>
      <c r="G102" t="str">
        <v>Female</v>
      </c>
      <c r="H102" t="str">
        <v>Training</v>
      </c>
      <c r="I102">
        <v>165</v>
      </c>
      <c r="J102">
        <v>943</v>
      </c>
      <c r="K102" t="str">
        <v>Above 100k</v>
      </c>
      <c r="L102">
        <v>46033</v>
      </c>
      <c r="M102">
        <v>0.8</v>
      </c>
      <c r="N102" t="str">
        <v>Temporary</v>
      </c>
      <c r="O102" t="str">
        <v>Remote</v>
      </c>
      <c r="P102">
        <v>6.11</v>
      </c>
      <c r="Q102" t="str">
        <v>Part time</v>
      </c>
      <c r="R102">
        <v>0</v>
      </c>
    </row>
    <row r="103" spans="4:18">
      <c r="D103" t="str">
        <v>PR83743</v>
      </c>
      <c r="E103" t="str">
        <v>Waltraud</v>
      </c>
      <c r="F103" t="str">
        <v>Green</v>
      </c>
      <c r="G103" t="str">
        <v>Female</v>
      </c>
      <c r="H103" t="str">
        <v>Customer Service</v>
      </c>
      <c r="I103">
        <v>177</v>
      </c>
      <c r="J103">
        <v>826</v>
      </c>
      <c r="K103" t="str">
        <v>Above 100k</v>
      </c>
      <c r="L103">
        <v>46339</v>
      </c>
      <c r="M103">
        <v>0.5</v>
      </c>
      <c r="N103" t="str">
        <v>Contract</v>
      </c>
      <c r="O103" t="str">
        <v>Mumbai</v>
      </c>
      <c r="P103" t="str">
        <v>India</v>
      </c>
      <c r="Q103">
        <v>3.78</v>
      </c>
      <c r="R103" t="str">
        <v>Contract</v>
      </c>
    </row>
    <row r="104" spans="4:18">
      <c r="D104" t="str">
        <v>PR10787</v>
      </c>
      <c r="E104" t="str">
        <v>Christina</v>
      </c>
      <c r="F104" t="str">
        <v>Phillips</v>
      </c>
      <c r="G104" t="str">
        <v>Male</v>
      </c>
      <c r="H104" t="str">
        <v>Research and Development</v>
      </c>
      <c r="I104">
        <v>176</v>
      </c>
      <c r="J104">
        <v>124</v>
      </c>
      <c r="K104" t="str">
        <v>Above 100k</v>
      </c>
      <c r="L104">
        <v>46175</v>
      </c>
      <c r="M104">
        <v>0.7</v>
      </c>
      <c r="N104" t="str">
        <v>Temporary</v>
      </c>
      <c r="O104" t="str">
        <v>Mumbai</v>
      </c>
      <c r="P104" t="str">
        <v>India</v>
      </c>
      <c r="Q104">
        <v>8.58</v>
      </c>
      <c r="R104" t="str">
        <v>Part time</v>
      </c>
    </row>
    <row r="105" spans="4:18">
      <c r="D105" t="str">
        <v>PR24187</v>
      </c>
      <c r="E105" t="str">
        <v>Peter</v>
      </c>
      <c r="F105" t="str">
        <v>Martinez</v>
      </c>
      <c r="G105" t="str">
        <v>Male</v>
      </c>
      <c r="H105" t="str">
        <v>Operations</v>
      </c>
      <c r="I105">
        <v>123</v>
      </c>
      <c r="J105">
        <v>606</v>
      </c>
      <c r="K105" t="str">
        <v>Above 100k</v>
      </c>
      <c r="L105">
        <v>46369</v>
      </c>
      <c r="M105">
        <v>0.3</v>
      </c>
      <c r="N105" t="str">
        <v>Permanent</v>
      </c>
      <c r="O105" t="str">
        <v>Paris</v>
      </c>
      <c r="P105" t="str">
        <v>France</v>
      </c>
      <c r="Q105">
        <v>5.7</v>
      </c>
      <c r="R105" t="str">
        <v>Freelance</v>
      </c>
    </row>
    <row r="106" spans="4:18">
      <c r="D106" t="str">
        <v>PR37608</v>
      </c>
      <c r="E106" t="str">
        <v>Klaus</v>
      </c>
      <c r="F106" t="str">
        <v>Turner</v>
      </c>
      <c r="G106" t="str">
        <v>Male</v>
      </c>
      <c r="H106" t="str">
        <v>Operations</v>
      </c>
      <c r="I106">
        <v>155</v>
      </c>
      <c r="J106">
        <v>100</v>
      </c>
      <c r="K106" t="str">
        <v>Above 100k</v>
      </c>
      <c r="L106">
        <v>46311</v>
      </c>
      <c r="M106">
        <v>1</v>
      </c>
      <c r="N106" t="str">
        <v>Permanent</v>
      </c>
      <c r="O106" t="str">
        <v>Mumbai</v>
      </c>
      <c r="P106" t="str">
        <v>India</v>
      </c>
      <c r="Q106">
        <v>9.41</v>
      </c>
      <c r="R106" t="str">
        <v>Contract</v>
      </c>
    </row>
    <row r="107" spans="4:18">
      <c r="D107" t="str">
        <v>PR51276</v>
      </c>
      <c r="E107" t="str">
        <v>Horst</v>
      </c>
      <c r="F107" t="str">
        <v>Phillips</v>
      </c>
      <c r="G107" t="str">
        <v>Female</v>
      </c>
      <c r="H107" t="str">
        <v>IT</v>
      </c>
      <c r="I107">
        <v>128</v>
      </c>
      <c r="J107">
        <v>414</v>
      </c>
      <c r="K107" t="str">
        <v>Above 100k</v>
      </c>
      <c r="L107">
        <v>46200</v>
      </c>
      <c r="M107">
        <v>0.5</v>
      </c>
      <c r="N107" t="str">
        <v>Contract</v>
      </c>
      <c r="O107" t="str">
        <v>Columbus</v>
      </c>
      <c r="P107" t="str">
        <v>USA</v>
      </c>
      <c r="Q107">
        <v>2.66</v>
      </c>
      <c r="R107" t="str">
        <v>Full time</v>
      </c>
    </row>
    <row r="114" spans="3:30">
      <c r="F114" s="22">
        <v>500</v>
      </c>
    </row>
    <row r="115" spans="3:30">
      <c r="F115" s="18">
        <v>100</v>
      </c>
    </row>
    <row r="116" spans="3:30">
      <c r="F116" s="21" t="s">
        <v>26</v>
      </c>
    </row>
    <row r="117" spans="3:30">
      <c r="F117" s="4"/>
    </row>
    <row r="118" spans="3:30">
      <c r="F118" s="4"/>
    </row>
    <row r="119" spans="3:30">
      <c r="F119" s="4"/>
    </row>
    <row r="120" spans="3:30">
      <c r="F120" s="4"/>
    </row>
    <row r="121" spans="3:30">
      <c r="F121" s="4"/>
    </row>
    <row r="122" spans="3:30">
      <c r="F122" s="4"/>
    </row>
    <row r="123" spans="3:30">
      <c r="F123" s="4"/>
    </row>
    <row r="124" spans="3:30">
      <c r="F124" s="4"/>
    </row>
    <row r="126" spans="3:30">
      <c r="C126" s="15" t="str" cm="1">
        <f t="array" ref="C126:G126">_xlfn.CHOOSECOLS(Sheet1!A1:M1,1,2,3,5,6)</f>
        <v>Emp_ID</v>
      </c>
      <c r="D126" s="15" t="str">
        <v>First_Name</v>
      </c>
      <c r="E126" s="15" t="str">
        <v>Last_Name</v>
      </c>
      <c r="F126" s="15" t="str">
        <v>Department</v>
      </c>
      <c r="G126" s="15" t="str">
        <v>Salary</v>
      </c>
      <c r="K126" s="23" t="str" cm="1">
        <f t="array" ref="K126:O126">_xlfn.CHOOSECOLS(Sheet1!A1:M1,1,2,3,4,7)</f>
        <v>Emp_ID</v>
      </c>
      <c r="L126" s="24" t="str">
        <v>First_Name</v>
      </c>
      <c r="M126" s="24" t="str">
        <v>Last_Name</v>
      </c>
      <c r="N126" s="24" t="str">
        <v>Gender</v>
      </c>
      <c r="O126" s="24" t="str">
        <v>Salary_Bucket</v>
      </c>
      <c r="P126" s="24"/>
      <c r="Q126" s="19"/>
      <c r="R126" s="25" t="str" cm="1">
        <f t="array" ref="R126:AD126">(Sheet1!A1:M1)</f>
        <v>Emp_ID</v>
      </c>
      <c r="S126" s="25" t="str">
        <v>First_Name</v>
      </c>
      <c r="T126" s="25" t="str">
        <v>Last_Name</v>
      </c>
      <c r="U126" s="25" t="str">
        <v>Gender</v>
      </c>
      <c r="V126" s="25" t="str">
        <v>Department</v>
      </c>
      <c r="W126" s="25" t="str">
        <v>Salary</v>
      </c>
      <c r="X126" s="26" t="str">
        <v>Salary_Bucket</v>
      </c>
      <c r="Y126" s="26" t="str">
        <v>Start_Date</v>
      </c>
      <c r="Z126" s="26" t="str">
        <v>FTE</v>
      </c>
      <c r="AA126" s="26" t="str">
        <v>Employee type</v>
      </c>
      <c r="AB126" s="26" t="str">
        <v>Work_location</v>
      </c>
      <c r="AC126" s="26" t="str">
        <v>Tenure</v>
      </c>
      <c r="AD126" s="26" t="str">
        <v>Work_Type</v>
      </c>
    </row>
    <row r="127" spans="3:30" ht="18" customHeight="1">
      <c r="C127" s="16" t="str" cm="1">
        <f t="array" ref="C127:G230">_xlfn.CHOOSECOLS(_xlfn._xlws.FILTER(Sheet1!A2:O201,Sheet1!F2:F201&gt;F115),1,2,3,5,6)</f>
        <v>PR91404</v>
      </c>
      <c r="D127" t="str">
        <v>Michael</v>
      </c>
      <c r="E127" t="str">
        <v>Mitchell</v>
      </c>
      <c r="F127" t="str">
        <v>Finance</v>
      </c>
      <c r="G127">
        <v>156</v>
      </c>
      <c r="K127" s="1" t="str" cm="1">
        <f t="array" ref="K127:O219">_xlfn.CHOOSECOLS(_xlfn._xlws.FILTER(Sheet1!A2:O201,Sheet1!G2:G201&gt;F114),1,2,3,4,7)</f>
        <v>PR96753</v>
      </c>
      <c r="L127" s="1" t="str">
        <v>Anna</v>
      </c>
      <c r="M127" s="1" t="str">
        <v>Scott</v>
      </c>
      <c r="N127" s="1" t="str">
        <v>Male</v>
      </c>
      <c r="O127" s="1">
        <v>792</v>
      </c>
      <c r="P127" s="2"/>
      <c r="Q127" s="1"/>
      <c r="R127" s="20" t="str" cm="1">
        <f t="array" ref="R127:V179">_xlfn.CHOOSECOLS(_xlfn._xlws.FILTER(Sheet1!A2:O201, (Sheet1!G2:G201&gt;F114) * (Sheet1!D2:D201=F116)), 1,2,3,4,7)</f>
        <v>PR96753</v>
      </c>
      <c r="S127" s="3" t="str">
        <v>Anna</v>
      </c>
      <c r="T127" s="1" t="str">
        <v>Scott</v>
      </c>
      <c r="U127" s="1" t="str">
        <v>Male</v>
      </c>
      <c r="V127" s="1">
        <v>792</v>
      </c>
      <c r="W127" s="1"/>
    </row>
    <row r="128" spans="3:30">
      <c r="C128" t="str">
        <v>PR26442</v>
      </c>
      <c r="D128" t="str">
        <v>Andreas</v>
      </c>
      <c r="E128" t="str">
        <v>Smith</v>
      </c>
      <c r="F128" t="str">
        <v>IT</v>
      </c>
      <c r="G128">
        <v>143</v>
      </c>
      <c r="K128" s="1" t="str">
        <v>PR91404</v>
      </c>
      <c r="L128" s="1" t="str">
        <v>Michael</v>
      </c>
      <c r="M128" s="1" t="str">
        <v>Mitchell</v>
      </c>
      <c r="N128" s="1" t="str">
        <v>Male</v>
      </c>
      <c r="O128" s="1">
        <v>732</v>
      </c>
      <c r="P128" s="2"/>
      <c r="Q128" s="1"/>
      <c r="R128" s="1" t="str">
        <v>PR91404</v>
      </c>
      <c r="S128" s="3" t="str">
        <v>Michael</v>
      </c>
      <c r="T128" s="1" t="str">
        <v>Mitchell</v>
      </c>
      <c r="U128" s="1" t="str">
        <v>Male</v>
      </c>
      <c r="V128" s="1">
        <v>732</v>
      </c>
      <c r="W128" s="1"/>
    </row>
    <row r="129" spans="3:23">
      <c r="C129" t="str">
        <v>PR43906</v>
      </c>
      <c r="D129" t="str">
        <v>Horst</v>
      </c>
      <c r="E129" t="str">
        <v>Perez</v>
      </c>
      <c r="F129" t="str">
        <v>Marketing</v>
      </c>
      <c r="G129">
        <v>107</v>
      </c>
      <c r="K129" s="1" t="str">
        <v>PR26442</v>
      </c>
      <c r="L129" s="1" t="str">
        <v>Andreas</v>
      </c>
      <c r="M129" s="1" t="str">
        <v>Smith</v>
      </c>
      <c r="N129" s="1" t="str">
        <v>Male</v>
      </c>
      <c r="O129" s="1">
        <v>894</v>
      </c>
      <c r="P129" s="2"/>
      <c r="Q129" s="1"/>
      <c r="R129" s="1" t="str">
        <v>PR26442</v>
      </c>
      <c r="S129" s="3" t="str">
        <v>Andreas</v>
      </c>
      <c r="T129" s="1" t="str">
        <v>Smith</v>
      </c>
      <c r="U129" s="1" t="str">
        <v>Male</v>
      </c>
      <c r="V129" s="1">
        <v>894</v>
      </c>
      <c r="W129" s="1"/>
    </row>
    <row r="130" spans="3:23">
      <c r="C130" t="str">
        <v>PR40245</v>
      </c>
      <c r="D130" t="str">
        <v>Ursula</v>
      </c>
      <c r="E130" t="str">
        <v>Hill</v>
      </c>
      <c r="F130" t="str">
        <v>Data Analytics</v>
      </c>
      <c r="G130">
        <v>136</v>
      </c>
      <c r="K130" s="1" t="str">
        <v>PR42680</v>
      </c>
      <c r="L130" s="1" t="str">
        <v>Jill</v>
      </c>
      <c r="M130" s="1" t="str">
        <v>Adams</v>
      </c>
      <c r="N130" s="1" t="str">
        <v>Male</v>
      </c>
      <c r="O130" s="1">
        <v>501</v>
      </c>
      <c r="P130" s="2"/>
      <c r="Q130" s="1"/>
      <c r="R130" s="1" t="str">
        <v>PR42680</v>
      </c>
      <c r="S130" s="3" t="str">
        <v>Jill</v>
      </c>
      <c r="T130" s="1" t="str">
        <v>Adams</v>
      </c>
      <c r="U130" s="1" t="str">
        <v>Male</v>
      </c>
      <c r="V130" s="1">
        <v>501</v>
      </c>
      <c r="W130" s="1"/>
    </row>
    <row r="131" spans="3:23">
      <c r="C131" t="str">
        <v>PR47648</v>
      </c>
      <c r="D131" t="str">
        <v>Brigitte</v>
      </c>
      <c r="E131" t="str">
        <v>Turner</v>
      </c>
      <c r="F131" t="str">
        <v>Data Analytics</v>
      </c>
      <c r="G131">
        <v>164</v>
      </c>
      <c r="K131" s="1" t="str">
        <v>PR37088</v>
      </c>
      <c r="L131" s="1" t="str">
        <v>Günter</v>
      </c>
      <c r="M131" s="1" t="e">
        <v>#N/A</v>
      </c>
      <c r="N131" s="1" t="str">
        <v>Female</v>
      </c>
      <c r="O131" s="1">
        <v>899</v>
      </c>
      <c r="P131" s="2"/>
      <c r="Q131" s="1"/>
      <c r="R131" s="1" t="str">
        <v>PR19000</v>
      </c>
      <c r="S131" s="3" t="str">
        <v>Ingrid</v>
      </c>
      <c r="T131" s="1" t="str">
        <v>Davis</v>
      </c>
      <c r="U131" s="1" t="str">
        <v>Male</v>
      </c>
      <c r="V131" s="1">
        <v>987</v>
      </c>
      <c r="W131" s="1"/>
    </row>
    <row r="132" spans="3:23">
      <c r="C132" t="str">
        <v>PR71131</v>
      </c>
      <c r="D132" t="str">
        <v>Manfred</v>
      </c>
      <c r="E132" t="str">
        <v>Phillips</v>
      </c>
      <c r="F132" t="str">
        <v>Sales</v>
      </c>
      <c r="G132">
        <v>128</v>
      </c>
      <c r="K132" s="1" t="str">
        <v>PR43906</v>
      </c>
      <c r="L132" s="1" t="str">
        <v>Horst</v>
      </c>
      <c r="M132" s="1" t="str">
        <v>Perez</v>
      </c>
      <c r="N132" s="1" t="str">
        <v>Female</v>
      </c>
      <c r="O132" s="1">
        <v>996</v>
      </c>
      <c r="P132" s="2"/>
      <c r="Q132" s="1"/>
      <c r="R132" s="1" t="str">
        <v>PR25096</v>
      </c>
      <c r="S132" s="3" t="str">
        <v>Beryl</v>
      </c>
      <c r="T132" s="1" t="str">
        <v>Davis</v>
      </c>
      <c r="U132" s="1" t="str">
        <v>Male</v>
      </c>
      <c r="V132" s="1">
        <v>544</v>
      </c>
      <c r="W132" s="1"/>
    </row>
    <row r="133" spans="3:23">
      <c r="C133" t="str">
        <v>PR55662</v>
      </c>
      <c r="D133" t="str">
        <v>Dieter</v>
      </c>
      <c r="E133" t="str">
        <v>Young</v>
      </c>
      <c r="F133" t="str">
        <v>Operations</v>
      </c>
      <c r="G133">
        <v>119</v>
      </c>
      <c r="K133" s="1" t="str">
        <v>PR19000</v>
      </c>
      <c r="L133" s="1" t="str">
        <v>Ingrid</v>
      </c>
      <c r="M133" s="1" t="str">
        <v>Davis</v>
      </c>
      <c r="N133" s="1" t="str">
        <v>Male</v>
      </c>
      <c r="O133" s="1">
        <v>987</v>
      </c>
      <c r="P133" s="2"/>
      <c r="Q133" s="1"/>
      <c r="R133" s="1" t="str">
        <v>PR56147</v>
      </c>
      <c r="S133" s="3" t="str">
        <v>Julia</v>
      </c>
      <c r="T133" s="1" t="str">
        <v>Fellgate</v>
      </c>
      <c r="U133" s="1" t="str">
        <v>Male</v>
      </c>
      <c r="V133" s="1">
        <v>673</v>
      </c>
      <c r="W133" s="1"/>
    </row>
    <row r="134" spans="3:23">
      <c r="C134" t="str">
        <v>PR25096</v>
      </c>
      <c r="D134" t="str">
        <v>Beryl</v>
      </c>
      <c r="E134" t="str">
        <v>Davis</v>
      </c>
      <c r="F134" t="str">
        <v>Human Resources</v>
      </c>
      <c r="G134">
        <v>105</v>
      </c>
      <c r="K134" s="1" t="str">
        <v>PR16247</v>
      </c>
      <c r="L134" s="1" t="str">
        <v>Peter</v>
      </c>
      <c r="M134" s="1" t="str">
        <v>Burnsyde</v>
      </c>
      <c r="N134" s="1" t="str">
        <v>Female</v>
      </c>
      <c r="O134" s="1">
        <v>772</v>
      </c>
      <c r="P134" s="2"/>
      <c r="Q134" s="1"/>
      <c r="R134" s="1" t="str">
        <v>PR34510</v>
      </c>
      <c r="S134" s="3" t="str">
        <v>Sarah</v>
      </c>
      <c r="T134" s="1" t="str">
        <v>Clark</v>
      </c>
      <c r="U134" s="1" t="str">
        <v>Male</v>
      </c>
      <c r="V134" s="1">
        <v>806</v>
      </c>
      <c r="W134" s="1"/>
    </row>
    <row r="135" spans="3:23">
      <c r="C135" t="str">
        <v>PR56147</v>
      </c>
      <c r="D135" t="str">
        <v>Julia</v>
      </c>
      <c r="E135" t="str">
        <v>Fellgate</v>
      </c>
      <c r="F135" t="str">
        <v>Training</v>
      </c>
      <c r="G135">
        <v>179</v>
      </c>
      <c r="K135" s="1" t="str">
        <v>PR25096</v>
      </c>
      <c r="L135" s="1" t="str">
        <v>Beryl</v>
      </c>
      <c r="M135" s="1" t="str">
        <v>Davis</v>
      </c>
      <c r="N135" s="1" t="str">
        <v>Male</v>
      </c>
      <c r="O135" s="1">
        <v>544</v>
      </c>
      <c r="P135" s="2"/>
      <c r="Q135" s="1"/>
      <c r="R135" s="1" t="str">
        <v>PR23233</v>
      </c>
      <c r="S135" s="3" t="str">
        <v>Klaus</v>
      </c>
      <c r="T135" s="1" t="str">
        <v>Burnsyde</v>
      </c>
      <c r="U135" s="1" t="str">
        <v>Male</v>
      </c>
      <c r="V135" s="1">
        <v>775</v>
      </c>
      <c r="W135" s="1"/>
    </row>
    <row r="136" spans="3:23">
      <c r="C136" t="str">
        <v>PR32576</v>
      </c>
      <c r="D136" t="str">
        <v>Emma</v>
      </c>
      <c r="E136" t="str">
        <v>Moore</v>
      </c>
      <c r="F136" t="str">
        <v>Product Management</v>
      </c>
      <c r="G136">
        <v>118</v>
      </c>
      <c r="K136" s="1" t="str">
        <v>PR18560</v>
      </c>
      <c r="L136" s="1" t="str">
        <v>Petra</v>
      </c>
      <c r="M136" s="1" t="str">
        <v>Anderson</v>
      </c>
      <c r="N136" s="1" t="str">
        <v>Female</v>
      </c>
      <c r="O136" s="1">
        <v>675</v>
      </c>
      <c r="P136" s="2"/>
      <c r="Q136" s="1"/>
      <c r="R136" s="1" t="str">
        <v>PR63739</v>
      </c>
      <c r="S136" s="3" t="str">
        <v>Elfriede</v>
      </c>
      <c r="T136" s="1" t="str">
        <v>Green</v>
      </c>
      <c r="U136" s="1" t="str">
        <v>Male</v>
      </c>
      <c r="V136" s="1">
        <v>718</v>
      </c>
      <c r="W136" s="1"/>
    </row>
    <row r="137" spans="3:23">
      <c r="C137" t="str">
        <v>PR34510</v>
      </c>
      <c r="D137" t="str">
        <v>Sarah</v>
      </c>
      <c r="E137" t="str">
        <v>Clark</v>
      </c>
      <c r="F137" t="str">
        <v>Product Management</v>
      </c>
      <c r="G137">
        <v>148</v>
      </c>
      <c r="K137" s="1" t="str">
        <v>PR56147</v>
      </c>
      <c r="L137" s="1" t="str">
        <v>Julia</v>
      </c>
      <c r="M137" s="1" t="str">
        <v>Fellgate</v>
      </c>
      <c r="N137" s="1" t="str">
        <v>Male</v>
      </c>
      <c r="O137" s="1">
        <v>673</v>
      </c>
      <c r="P137" s="2"/>
      <c r="Q137" s="1"/>
      <c r="R137" s="1" t="str">
        <v>PR34176</v>
      </c>
      <c r="S137" s="3" t="str">
        <v>Lalitchandra</v>
      </c>
      <c r="T137" s="1" t="str">
        <v>Lewis</v>
      </c>
      <c r="U137" s="1" t="str">
        <v>Male</v>
      </c>
      <c r="V137" s="1">
        <v>517</v>
      </c>
      <c r="W137" s="1"/>
    </row>
    <row r="138" spans="3:23">
      <c r="C138" t="str">
        <v>PR23233</v>
      </c>
      <c r="D138" t="str">
        <v>Klaus</v>
      </c>
      <c r="E138" t="str">
        <v>Burnsyde</v>
      </c>
      <c r="F138" t="str">
        <v>Customer Service</v>
      </c>
      <c r="G138">
        <v>170</v>
      </c>
      <c r="K138" s="1" t="str">
        <v>PR32576</v>
      </c>
      <c r="L138" s="1" t="str">
        <v>Emma</v>
      </c>
      <c r="M138" s="1" t="str">
        <v>Moore</v>
      </c>
      <c r="N138" s="1" t="str">
        <v>Female</v>
      </c>
      <c r="O138" s="1">
        <v>728</v>
      </c>
      <c r="P138" s="2"/>
      <c r="Q138" s="1"/>
      <c r="R138" s="1" t="str">
        <v>PR47581</v>
      </c>
      <c r="S138" s="3" t="str">
        <v>Brigitte</v>
      </c>
      <c r="T138" s="1" t="str">
        <v>Hall</v>
      </c>
      <c r="U138" s="1" t="str">
        <v>Male</v>
      </c>
      <c r="V138" s="1">
        <v>959</v>
      </c>
      <c r="W138" s="1"/>
    </row>
    <row r="139" spans="3:23">
      <c r="C139" t="str">
        <v>PR63739</v>
      </c>
      <c r="D139" t="str">
        <v>Elfriede</v>
      </c>
      <c r="E139" t="str">
        <v>Green</v>
      </c>
      <c r="F139" t="str">
        <v>Data Analytics</v>
      </c>
      <c r="G139">
        <v>104</v>
      </c>
      <c r="K139" s="1" t="str">
        <v>PR34510</v>
      </c>
      <c r="L139" s="1" t="str">
        <v>Sarah</v>
      </c>
      <c r="M139" s="1" t="str">
        <v>Clark</v>
      </c>
      <c r="N139" s="1" t="str">
        <v>Male</v>
      </c>
      <c r="O139" s="1">
        <v>806</v>
      </c>
      <c r="P139" s="2"/>
      <c r="Q139" s="1"/>
      <c r="R139" s="1" t="str">
        <v>PR12393</v>
      </c>
      <c r="S139" s="3" t="str">
        <v>Petra</v>
      </c>
      <c r="T139" s="1" t="str">
        <v>Wright</v>
      </c>
      <c r="U139" s="1" t="str">
        <v>Male</v>
      </c>
      <c r="V139" s="1">
        <v>967</v>
      </c>
      <c r="W139" s="1"/>
    </row>
    <row r="140" spans="3:23">
      <c r="C140" t="str">
        <v>PR78417</v>
      </c>
      <c r="D140" t="str">
        <v>Erich</v>
      </c>
      <c r="E140" t="str">
        <v>Lewis</v>
      </c>
      <c r="F140" t="str">
        <v>Research and Development</v>
      </c>
      <c r="G140">
        <v>155</v>
      </c>
      <c r="K140" s="1" t="str">
        <v>PR23233</v>
      </c>
      <c r="L140" s="1" t="str">
        <v>Klaus</v>
      </c>
      <c r="M140" s="1" t="str">
        <v>Burnsyde</v>
      </c>
      <c r="N140" s="1" t="str">
        <v>Male</v>
      </c>
      <c r="O140" s="1">
        <v>775</v>
      </c>
      <c r="P140" s="2"/>
      <c r="Q140" s="1"/>
      <c r="R140" s="1" t="str">
        <v>PR41569</v>
      </c>
      <c r="S140" s="3" t="str">
        <v>Brigitte</v>
      </c>
      <c r="T140" s="1" t="str">
        <v>White</v>
      </c>
      <c r="U140" s="1" t="str">
        <v>Male</v>
      </c>
      <c r="V140" s="1">
        <v>653</v>
      </c>
      <c r="W140" s="1"/>
    </row>
    <row r="141" spans="3:23">
      <c r="C141" t="str">
        <v>PR42580</v>
      </c>
      <c r="D141" t="str">
        <v>Dieter</v>
      </c>
      <c r="E141" t="str">
        <v>Jones</v>
      </c>
      <c r="F141" t="str">
        <v>Product Management</v>
      </c>
      <c r="G141">
        <v>112</v>
      </c>
      <c r="K141" s="1" t="str">
        <v>PR63739</v>
      </c>
      <c r="L141" s="1" t="str">
        <v>Elfriede</v>
      </c>
      <c r="M141" s="1" t="str">
        <v>Green</v>
      </c>
      <c r="N141" s="1" t="str">
        <v>Male</v>
      </c>
      <c r="O141" s="1">
        <v>718</v>
      </c>
      <c r="P141" s="2"/>
      <c r="Q141" s="1"/>
      <c r="R141" s="1" t="str">
        <v>PR76507</v>
      </c>
      <c r="S141" s="3" t="str">
        <v>Manfred</v>
      </c>
      <c r="T141" s="1" t="str">
        <v>Martin</v>
      </c>
      <c r="U141" s="1" t="str">
        <v>Male</v>
      </c>
      <c r="V141" s="1">
        <v>833</v>
      </c>
      <c r="W141" s="1"/>
    </row>
    <row r="142" spans="3:23">
      <c r="C142" t="str">
        <v>PR77997</v>
      </c>
      <c r="D142" t="str">
        <v>Hans</v>
      </c>
      <c r="E142" t="str">
        <v>Lewis</v>
      </c>
      <c r="F142" t="str">
        <v>Marketing</v>
      </c>
      <c r="G142">
        <v>146</v>
      </c>
      <c r="K142" s="1" t="str">
        <v>PR34176</v>
      </c>
      <c r="L142" s="1" t="str">
        <v>Lalitchandra</v>
      </c>
      <c r="M142" s="1" t="str">
        <v>Lewis</v>
      </c>
      <c r="N142" s="1" t="str">
        <v>Male</v>
      </c>
      <c r="O142" s="1">
        <v>517</v>
      </c>
      <c r="P142" s="2"/>
      <c r="Q142" s="1"/>
      <c r="R142" s="1" t="str">
        <v>PR33397</v>
      </c>
      <c r="S142" s="3" t="str">
        <v>Dieter</v>
      </c>
      <c r="T142" s="1" t="str">
        <v>Walker</v>
      </c>
      <c r="U142" s="1" t="str">
        <v>Male</v>
      </c>
      <c r="V142" s="1">
        <v>579</v>
      </c>
      <c r="W142" s="1"/>
    </row>
    <row r="143" spans="3:23">
      <c r="C143" t="str">
        <v>PR72197</v>
      </c>
      <c r="D143" t="str">
        <v>Maria</v>
      </c>
      <c r="E143" t="str">
        <v>Flores</v>
      </c>
      <c r="F143" t="str">
        <v>Human Resources</v>
      </c>
      <c r="G143">
        <v>130</v>
      </c>
      <c r="K143" s="1" t="str">
        <v>PR81010</v>
      </c>
      <c r="L143" s="1" t="str">
        <v>Van</v>
      </c>
      <c r="M143" s="1" t="str">
        <v>Wright</v>
      </c>
      <c r="N143" s="1" t="str">
        <v>Female</v>
      </c>
      <c r="O143" s="1">
        <v>809</v>
      </c>
      <c r="P143" s="2"/>
      <c r="Q143" s="1"/>
      <c r="R143" s="1" t="str">
        <v>PR45681</v>
      </c>
      <c r="S143" s="3" t="str">
        <v>Bernd</v>
      </c>
      <c r="T143" s="1" t="str">
        <v>Ricardot</v>
      </c>
      <c r="U143" s="1" t="str">
        <v>Male</v>
      </c>
      <c r="V143" s="1">
        <v>702</v>
      </c>
      <c r="W143" s="1"/>
    </row>
    <row r="144" spans="3:23">
      <c r="C144" t="str">
        <v>PR47581</v>
      </c>
      <c r="D144" t="str">
        <v>Brigitte</v>
      </c>
      <c r="E144" t="str">
        <v>Hall</v>
      </c>
      <c r="F144" t="str">
        <v>Engineering</v>
      </c>
      <c r="G144">
        <v>135</v>
      </c>
      <c r="K144" s="1" t="str">
        <v>PR72083</v>
      </c>
      <c r="L144" s="1" t="str">
        <v>Jürgen</v>
      </c>
      <c r="M144" s="1" t="str">
        <v>Phillips</v>
      </c>
      <c r="N144" s="1" t="str">
        <v>Female</v>
      </c>
      <c r="O144" s="1">
        <v>584</v>
      </c>
      <c r="P144" s="2"/>
      <c r="Q144" s="1"/>
      <c r="R144" s="1" t="str">
        <v>PR91811</v>
      </c>
      <c r="S144" s="3" t="str">
        <v>Siegfried</v>
      </c>
      <c r="T144" s="1" t="str">
        <v>Walker</v>
      </c>
      <c r="U144" s="1" t="str">
        <v>Male</v>
      </c>
      <c r="V144" s="1">
        <v>536</v>
      </c>
      <c r="W144" s="1"/>
    </row>
    <row r="145" spans="3:23">
      <c r="C145" t="str">
        <v>PR89785</v>
      </c>
      <c r="D145" t="str">
        <v>Maria</v>
      </c>
      <c r="E145" t="str">
        <v>Veeravasarapu</v>
      </c>
      <c r="F145" t="str">
        <v>Training</v>
      </c>
      <c r="G145">
        <v>169</v>
      </c>
      <c r="K145" s="1" t="str">
        <v>PR47581</v>
      </c>
      <c r="L145" s="1" t="str">
        <v>Brigitte</v>
      </c>
      <c r="M145" s="1" t="str">
        <v>Hall</v>
      </c>
      <c r="N145" s="1" t="str">
        <v>Male</v>
      </c>
      <c r="O145" s="1">
        <v>959</v>
      </c>
      <c r="P145" s="2"/>
      <c r="Q145" s="1"/>
      <c r="R145" s="1" t="str">
        <v>PR20460</v>
      </c>
      <c r="S145" s="3" t="str">
        <v>Sophie</v>
      </c>
      <c r="T145" s="1" t="str">
        <v>Brown</v>
      </c>
      <c r="U145" s="1" t="str">
        <v>Male</v>
      </c>
      <c r="V145" s="1">
        <v>681</v>
      </c>
      <c r="W145" s="1"/>
    </row>
    <row r="146" spans="3:23">
      <c r="C146" t="str">
        <v>PR33378</v>
      </c>
      <c r="D146" t="str">
        <v>Erich</v>
      </c>
      <c r="E146" t="str">
        <v>Harris</v>
      </c>
      <c r="F146" t="str">
        <v>Legal</v>
      </c>
      <c r="G146">
        <v>127</v>
      </c>
      <c r="K146" s="1" t="str">
        <v>PR33378</v>
      </c>
      <c r="L146" s="1" t="str">
        <v>Erich</v>
      </c>
      <c r="M146" s="1" t="str">
        <v>Harris</v>
      </c>
      <c r="N146" s="1" t="str">
        <v>Female</v>
      </c>
      <c r="O146" s="1">
        <v>989</v>
      </c>
      <c r="P146" s="2"/>
      <c r="Q146" s="1"/>
      <c r="R146" s="1" t="str">
        <v>PR59070</v>
      </c>
      <c r="S146" s="3" t="str">
        <v>Ursula</v>
      </c>
      <c r="T146" s="1" t="str">
        <v>Taylor</v>
      </c>
      <c r="U146" s="1" t="str">
        <v>Male</v>
      </c>
      <c r="V146" s="1">
        <v>981</v>
      </c>
      <c r="W146" s="1"/>
    </row>
    <row r="147" spans="3:23">
      <c r="C147" t="str">
        <v>PR96736</v>
      </c>
      <c r="D147" t="str">
        <v>Hildegard</v>
      </c>
      <c r="E147" t="str">
        <v>Campbell</v>
      </c>
      <c r="F147" t="str">
        <v>Accounting</v>
      </c>
      <c r="G147">
        <v>138</v>
      </c>
      <c r="K147" s="1" t="str">
        <v>PR96736</v>
      </c>
      <c r="L147" s="1" t="str">
        <v>Hildegard</v>
      </c>
      <c r="M147" s="1" t="str">
        <v>Campbell</v>
      </c>
      <c r="N147" s="1" t="str">
        <v>Female</v>
      </c>
      <c r="O147" s="1">
        <v>984</v>
      </c>
      <c r="P147" s="2"/>
      <c r="Q147" s="1"/>
      <c r="R147" s="1" t="str">
        <v>PR43763</v>
      </c>
      <c r="S147" s="3" t="str">
        <v>Bernd</v>
      </c>
      <c r="T147" s="1" t="str">
        <v>Mitchell</v>
      </c>
      <c r="U147" s="1" t="str">
        <v>Male</v>
      </c>
      <c r="V147" s="1">
        <v>551</v>
      </c>
      <c r="W147" s="1"/>
    </row>
    <row r="148" spans="3:23">
      <c r="C148" t="str">
        <v>PR70590</v>
      </c>
      <c r="D148" t="str">
        <v>Torrance</v>
      </c>
      <c r="E148" t="str">
        <v>Vadali</v>
      </c>
      <c r="F148" t="str">
        <v>Customer Service</v>
      </c>
      <c r="G148">
        <v>147</v>
      </c>
      <c r="K148" s="1" t="str">
        <v>PR12393</v>
      </c>
      <c r="L148" s="1" t="str">
        <v>Petra</v>
      </c>
      <c r="M148" s="1" t="str">
        <v>Wright</v>
      </c>
      <c r="N148" s="1" t="str">
        <v>Male</v>
      </c>
      <c r="O148" s="1">
        <v>967</v>
      </c>
      <c r="P148" s="2"/>
      <c r="Q148" s="1"/>
      <c r="R148" s="1" t="str">
        <v>PR72967</v>
      </c>
      <c r="S148" s="3" t="str">
        <v>Sarah</v>
      </c>
      <c r="T148" s="1" t="str">
        <v>Nguyen</v>
      </c>
      <c r="U148" s="1" t="str">
        <v>Male</v>
      </c>
      <c r="V148" s="1">
        <v>605</v>
      </c>
      <c r="W148" s="1"/>
    </row>
    <row r="149" spans="3:23">
      <c r="C149" t="str">
        <v>PR89803</v>
      </c>
      <c r="D149" t="str">
        <v>Beryl</v>
      </c>
      <c r="E149" t="str">
        <v>Perez</v>
      </c>
      <c r="F149" t="str">
        <v>Operations</v>
      </c>
      <c r="G149">
        <v>157</v>
      </c>
      <c r="K149" s="1" t="str">
        <v>PR31386</v>
      </c>
      <c r="L149" s="1" t="str">
        <v>Thomas</v>
      </c>
      <c r="M149" s="1" t="str">
        <v>Johnson</v>
      </c>
      <c r="N149" s="1" t="str">
        <v>Female</v>
      </c>
      <c r="O149" s="1">
        <v>841</v>
      </c>
      <c r="P149" s="2"/>
      <c r="Q149" s="1"/>
      <c r="R149" s="1" t="str">
        <v>PR27618</v>
      </c>
      <c r="S149" s="3" t="str">
        <v>Manfred</v>
      </c>
      <c r="T149" s="1" t="str">
        <v>Roberts</v>
      </c>
      <c r="U149" s="1" t="str">
        <v>Male</v>
      </c>
      <c r="V149" s="1">
        <v>982</v>
      </c>
      <c r="W149" s="1"/>
    </row>
    <row r="150" spans="3:23">
      <c r="C150" t="str">
        <v>PR21693</v>
      </c>
      <c r="D150" t="str">
        <v>Jill</v>
      </c>
      <c r="E150" t="str">
        <v>Martinez</v>
      </c>
      <c r="F150" t="str">
        <v>Marketing</v>
      </c>
      <c r="G150">
        <v>105</v>
      </c>
      <c r="K150" s="1" t="str">
        <v>PR41569</v>
      </c>
      <c r="L150" s="1" t="str">
        <v>Brigitte</v>
      </c>
      <c r="M150" s="1" t="str">
        <v>White</v>
      </c>
      <c r="N150" s="1" t="str">
        <v>Male</v>
      </c>
      <c r="O150" s="1">
        <v>653</v>
      </c>
      <c r="P150" s="2"/>
      <c r="Q150" s="1"/>
      <c r="R150" s="1" t="str">
        <v>PR40477</v>
      </c>
      <c r="S150" s="3" t="str">
        <v>Nicole</v>
      </c>
      <c r="T150" s="1" t="str">
        <v>Veeravasarapu</v>
      </c>
      <c r="U150" s="1" t="str">
        <v>Male</v>
      </c>
      <c r="V150" s="1">
        <v>582</v>
      </c>
      <c r="W150" s="1"/>
    </row>
    <row r="151" spans="3:23">
      <c r="C151" t="str">
        <v>PR41569</v>
      </c>
      <c r="D151" t="str">
        <v>Brigitte</v>
      </c>
      <c r="E151" t="str">
        <v>White</v>
      </c>
      <c r="F151" t="str">
        <v>Engineering</v>
      </c>
      <c r="G151">
        <v>177</v>
      </c>
      <c r="K151" s="1" t="str">
        <v>PR76507</v>
      </c>
      <c r="L151" s="1" t="str">
        <v>Manfred</v>
      </c>
      <c r="M151" s="1" t="str">
        <v>Martin</v>
      </c>
      <c r="N151" s="1" t="str">
        <v>Male</v>
      </c>
      <c r="O151" s="1">
        <v>833</v>
      </c>
      <c r="P151" s="2"/>
      <c r="Q151" s="1"/>
      <c r="R151" s="1" t="str">
        <v>PR74629</v>
      </c>
      <c r="S151" s="3" t="str">
        <v>Hildegard</v>
      </c>
      <c r="T151" s="1" t="str">
        <v>Carter</v>
      </c>
      <c r="U151" s="1" t="str">
        <v>Male</v>
      </c>
      <c r="V151" s="1">
        <v>813</v>
      </c>
      <c r="W151" s="1"/>
    </row>
    <row r="152" spans="3:23">
      <c r="C152" t="str">
        <v>PR84680</v>
      </c>
      <c r="D152" t="str">
        <v>Robert</v>
      </c>
      <c r="E152" t="str">
        <v>Robinson</v>
      </c>
      <c r="F152" t="str">
        <v>Human Resources</v>
      </c>
      <c r="G152">
        <v>125</v>
      </c>
      <c r="K152" s="1" t="str">
        <v>PR33397</v>
      </c>
      <c r="L152" s="1" t="str">
        <v>Dieter</v>
      </c>
      <c r="M152" s="1" t="str">
        <v>Walker</v>
      </c>
      <c r="N152" s="1" t="str">
        <v>Male</v>
      </c>
      <c r="O152" s="1">
        <v>579</v>
      </c>
      <c r="P152" s="2"/>
      <c r="Q152" s="1"/>
      <c r="R152" s="1" t="str">
        <v>PR90840</v>
      </c>
      <c r="S152" s="3" t="str">
        <v>David</v>
      </c>
      <c r="T152" s="1" t="str">
        <v>Hall</v>
      </c>
      <c r="U152" s="1" t="str">
        <v>Male</v>
      </c>
      <c r="V152" s="1">
        <v>526</v>
      </c>
      <c r="W152" s="1"/>
    </row>
    <row r="153" spans="3:23">
      <c r="C153" t="str">
        <v>PR45681</v>
      </c>
      <c r="D153" t="str">
        <v>Bernd</v>
      </c>
      <c r="E153" t="str">
        <v>Ricardot</v>
      </c>
      <c r="F153" t="str">
        <v>Legal</v>
      </c>
      <c r="G153">
        <v>167</v>
      </c>
      <c r="K153" s="1" t="str">
        <v>PR45681</v>
      </c>
      <c r="L153" s="1" t="str">
        <v>Bernd</v>
      </c>
      <c r="M153" s="1" t="str">
        <v>Ricardot</v>
      </c>
      <c r="N153" s="1" t="str">
        <v>Male</v>
      </c>
      <c r="O153" s="1">
        <v>702</v>
      </c>
      <c r="P153" s="2"/>
      <c r="Q153" s="1"/>
      <c r="R153" s="1" t="str">
        <v>PR98182</v>
      </c>
      <c r="S153" s="3" t="str">
        <v>Günter</v>
      </c>
      <c r="T153" s="1" t="str">
        <v>Carter</v>
      </c>
      <c r="U153" s="1" t="str">
        <v>Male</v>
      </c>
      <c r="V153" s="1">
        <v>817</v>
      </c>
      <c r="W153" s="1"/>
    </row>
    <row r="154" spans="3:23">
      <c r="C154" t="str">
        <v>PR76983</v>
      </c>
      <c r="D154" t="str">
        <v>Inger</v>
      </c>
      <c r="E154" t="str">
        <v>Hall</v>
      </c>
      <c r="F154" t="str">
        <v>IT</v>
      </c>
      <c r="G154">
        <v>115</v>
      </c>
      <c r="K154" s="1" t="str">
        <v>PR91811</v>
      </c>
      <c r="L154" s="1" t="str">
        <v>Siegfried</v>
      </c>
      <c r="M154" s="1" t="str">
        <v>Walker</v>
      </c>
      <c r="N154" s="1" t="str">
        <v>Male</v>
      </c>
      <c r="O154" s="1">
        <v>536</v>
      </c>
      <c r="P154" s="2"/>
      <c r="Q154" s="1"/>
      <c r="R154" s="1" t="str">
        <v>PR69530</v>
      </c>
      <c r="S154" s="3" t="str">
        <v>Konrad</v>
      </c>
      <c r="T154" s="1" t="str">
        <v>Jackson</v>
      </c>
      <c r="U154" s="1" t="str">
        <v>Male</v>
      </c>
      <c r="V154" s="1">
        <v>721</v>
      </c>
      <c r="W154" s="1"/>
    </row>
    <row r="155" spans="3:23">
      <c r="C155" t="str">
        <v>PR11368</v>
      </c>
      <c r="D155" t="str">
        <v>Günter</v>
      </c>
      <c r="E155" t="str">
        <v>Campbell</v>
      </c>
      <c r="F155" t="str">
        <v>Business Development</v>
      </c>
      <c r="G155">
        <v>179</v>
      </c>
      <c r="K155" s="1" t="str">
        <v>PR20460</v>
      </c>
      <c r="L155" s="1" t="str">
        <v>Sophie</v>
      </c>
      <c r="M155" s="1" t="str">
        <v>Brown</v>
      </c>
      <c r="N155" s="1" t="str">
        <v>Male</v>
      </c>
      <c r="O155" s="1">
        <v>681</v>
      </c>
      <c r="P155" s="2"/>
      <c r="Q155" s="1"/>
      <c r="R155" s="1" t="str">
        <v>PR82142</v>
      </c>
      <c r="S155" s="3" t="str">
        <v>Thomas</v>
      </c>
      <c r="T155" s="1" t="str">
        <v>Chapelbow</v>
      </c>
      <c r="U155" s="1" t="str">
        <v>Male</v>
      </c>
      <c r="V155" s="1">
        <v>948</v>
      </c>
      <c r="W155" s="1"/>
    </row>
    <row r="156" spans="3:23">
      <c r="C156" t="str">
        <v>PR14854</v>
      </c>
      <c r="D156" t="str">
        <v>Bernd</v>
      </c>
      <c r="E156" t="str">
        <v>Taylor</v>
      </c>
      <c r="F156" t="str">
        <v>Marketing</v>
      </c>
      <c r="G156">
        <v>102</v>
      </c>
      <c r="K156" s="1" t="str">
        <v>PR59070</v>
      </c>
      <c r="L156" s="1" t="str">
        <v>Ursula</v>
      </c>
      <c r="M156" s="1" t="str">
        <v>Taylor</v>
      </c>
      <c r="N156" s="1" t="str">
        <v>Male</v>
      </c>
      <c r="O156" s="1">
        <v>981</v>
      </c>
      <c r="P156" s="2"/>
      <c r="Q156" s="1"/>
      <c r="R156" s="1" t="str">
        <v>PR91052</v>
      </c>
      <c r="S156" s="3" t="str">
        <v>Gerhard</v>
      </c>
      <c r="T156" s="1" t="str">
        <v>Flores</v>
      </c>
      <c r="U156" s="1" t="str">
        <v>Male</v>
      </c>
      <c r="V156" s="1">
        <v>556</v>
      </c>
      <c r="W156" s="1"/>
    </row>
    <row r="157" spans="3:23">
      <c r="C157" t="str">
        <v>PR18326</v>
      </c>
      <c r="D157" t="str">
        <v>Hannelore</v>
      </c>
      <c r="E157" t="str">
        <v>Garcia</v>
      </c>
      <c r="F157" t="str">
        <v>Product Management</v>
      </c>
      <c r="G157">
        <v>120</v>
      </c>
      <c r="K157" s="1" t="str">
        <v>PR43763</v>
      </c>
      <c r="L157" s="1" t="str">
        <v>Bernd</v>
      </c>
      <c r="M157" s="1" t="str">
        <v>Mitchell</v>
      </c>
      <c r="N157" s="1" t="str">
        <v>Male</v>
      </c>
      <c r="O157" s="1">
        <v>551</v>
      </c>
      <c r="P157" s="2"/>
      <c r="Q157" s="1"/>
      <c r="R157" s="1" t="str">
        <v>PR49602</v>
      </c>
      <c r="S157" s="3" t="str">
        <v>Billi</v>
      </c>
      <c r="T157" s="1" t="str">
        <v>Green</v>
      </c>
      <c r="U157" s="1" t="str">
        <v>Male</v>
      </c>
      <c r="V157" s="1">
        <v>719</v>
      </c>
      <c r="W157" s="1"/>
    </row>
    <row r="158" spans="3:23">
      <c r="C158" t="str">
        <v>PR59070</v>
      </c>
      <c r="D158" t="str">
        <v>Ursula</v>
      </c>
      <c r="E158" t="str">
        <v>Taylor</v>
      </c>
      <c r="F158" t="str">
        <v>Legal</v>
      </c>
      <c r="G158">
        <v>127</v>
      </c>
      <c r="K158" s="1" t="str">
        <v>PR72967</v>
      </c>
      <c r="L158" s="1" t="str">
        <v>Sarah</v>
      </c>
      <c r="M158" s="1" t="str">
        <v>Nguyen</v>
      </c>
      <c r="N158" s="1" t="str">
        <v>Male</v>
      </c>
      <c r="O158" s="1">
        <v>605</v>
      </c>
      <c r="P158" s="2"/>
      <c r="Q158" s="1"/>
      <c r="R158" s="1" t="str">
        <v>PR49683</v>
      </c>
      <c r="S158" s="3" t="str">
        <v>Rainer</v>
      </c>
      <c r="T158" s="1" t="str">
        <v>Adams</v>
      </c>
      <c r="U158" s="1" t="str">
        <v>Male</v>
      </c>
      <c r="V158" s="1">
        <v>514</v>
      </c>
      <c r="W158" s="1"/>
    </row>
    <row r="159" spans="3:23">
      <c r="C159" t="str">
        <v>PR43763</v>
      </c>
      <c r="D159" t="str">
        <v>Bernd</v>
      </c>
      <c r="E159" t="str">
        <v>Mitchell</v>
      </c>
      <c r="F159" t="str">
        <v>Business Development</v>
      </c>
      <c r="G159">
        <v>149</v>
      </c>
      <c r="K159" s="1" t="str">
        <v>PR15008</v>
      </c>
      <c r="L159" s="1" t="str">
        <v>Markus</v>
      </c>
      <c r="M159" s="1" t="str">
        <v>Wilson</v>
      </c>
      <c r="N159" s="1" t="str">
        <v>Female</v>
      </c>
      <c r="O159" s="1">
        <v>791</v>
      </c>
      <c r="P159" s="2"/>
      <c r="Q159" s="1"/>
      <c r="R159" s="1" t="str">
        <v>PR30484</v>
      </c>
      <c r="S159" s="3" t="str">
        <v>Erich</v>
      </c>
      <c r="T159" s="1" t="str">
        <v>Burnsyde</v>
      </c>
      <c r="U159" s="1" t="str">
        <v>Male</v>
      </c>
      <c r="V159" s="1">
        <v>649</v>
      </c>
      <c r="W159" s="1"/>
    </row>
    <row r="160" spans="3:23">
      <c r="C160" t="str">
        <v>PR72967</v>
      </c>
      <c r="D160" t="str">
        <v>Sarah</v>
      </c>
      <c r="E160" t="str">
        <v>Nguyen</v>
      </c>
      <c r="F160" t="str">
        <v>Data Analytics</v>
      </c>
      <c r="G160">
        <v>138</v>
      </c>
      <c r="K160" s="1" t="str">
        <v>PR27618</v>
      </c>
      <c r="L160" s="1" t="str">
        <v>Manfred</v>
      </c>
      <c r="M160" s="1" t="str">
        <v>Roberts</v>
      </c>
      <c r="N160" s="1" t="str">
        <v>Male</v>
      </c>
      <c r="O160" s="1">
        <v>982</v>
      </c>
      <c r="P160" s="2"/>
      <c r="Q160" s="1"/>
      <c r="R160" s="1" t="str">
        <v>PR27384</v>
      </c>
      <c r="S160" s="3" t="str">
        <v>Robert</v>
      </c>
      <c r="T160" s="1" t="str">
        <v>Veeravasarapu</v>
      </c>
      <c r="U160" s="1" t="str">
        <v>Male</v>
      </c>
      <c r="V160" s="1">
        <v>716</v>
      </c>
      <c r="W160" s="1"/>
    </row>
    <row r="161" spans="3:23">
      <c r="C161" t="str">
        <v>PR65084</v>
      </c>
      <c r="D161" t="str">
        <v>Gerhard</v>
      </c>
      <c r="E161" t="str">
        <v>Augar</v>
      </c>
      <c r="F161" t="str">
        <v>Marketing</v>
      </c>
      <c r="G161">
        <v>172</v>
      </c>
      <c r="K161" s="1" t="str">
        <v>PR40477</v>
      </c>
      <c r="L161" s="1" t="str">
        <v>Nicole</v>
      </c>
      <c r="M161" s="1" t="str">
        <v>Veeravasarapu</v>
      </c>
      <c r="N161" s="1" t="str">
        <v>Male</v>
      </c>
      <c r="O161" s="1">
        <v>582</v>
      </c>
      <c r="P161" s="2"/>
      <c r="Q161" s="1"/>
      <c r="R161" s="1" t="str">
        <v>PR71709</v>
      </c>
      <c r="S161" s="3" t="str">
        <v>Monika</v>
      </c>
      <c r="T161" s="1" t="str">
        <v>Johnson</v>
      </c>
      <c r="U161" s="1" t="str">
        <v>Male</v>
      </c>
      <c r="V161" s="1">
        <v>655</v>
      </c>
      <c r="W161" s="1"/>
    </row>
    <row r="162" spans="3:23">
      <c r="C162" t="str">
        <v>PR52944</v>
      </c>
      <c r="D162" t="str">
        <v>Rainer</v>
      </c>
      <c r="E162" t="str">
        <v>Veeravasarapu</v>
      </c>
      <c r="F162" t="str">
        <v>Sales</v>
      </c>
      <c r="G162">
        <v>136</v>
      </c>
      <c r="K162" s="1" t="str">
        <v>PR74629</v>
      </c>
      <c r="L162" s="1" t="str">
        <v>Hildegard</v>
      </c>
      <c r="M162" s="1" t="str">
        <v>Carter</v>
      </c>
      <c r="N162" s="1" t="str">
        <v>Male</v>
      </c>
      <c r="O162" s="1">
        <v>813</v>
      </c>
      <c r="P162" s="2"/>
      <c r="Q162" s="1"/>
      <c r="R162" s="1" t="str">
        <v>PR13962</v>
      </c>
      <c r="S162" s="3" t="str">
        <v>Peter</v>
      </c>
      <c r="T162" s="1" t="str">
        <v>Augar</v>
      </c>
      <c r="U162" s="1" t="str">
        <v>Male</v>
      </c>
      <c r="V162" s="1">
        <v>639</v>
      </c>
      <c r="W162" s="1"/>
    </row>
    <row r="163" spans="3:23">
      <c r="C163" t="str">
        <v>PR78020</v>
      </c>
      <c r="D163" t="str">
        <v>Robert</v>
      </c>
      <c r="E163" t="str">
        <v>Brown</v>
      </c>
      <c r="F163" t="str">
        <v>Sales</v>
      </c>
      <c r="G163">
        <v>179</v>
      </c>
      <c r="K163" s="1" t="str">
        <v>PR90840</v>
      </c>
      <c r="L163" s="1" t="str">
        <v>David</v>
      </c>
      <c r="M163" s="1" t="str">
        <v>Hall</v>
      </c>
      <c r="N163" s="1" t="str">
        <v>Male</v>
      </c>
      <c r="O163" s="1">
        <v>526</v>
      </c>
      <c r="P163" s="2"/>
      <c r="Q163" s="1"/>
      <c r="R163" s="1" t="str">
        <v>PR96102</v>
      </c>
      <c r="S163" s="3" t="str">
        <v>Siegfried</v>
      </c>
      <c r="T163" s="1" t="str">
        <v>Taylor</v>
      </c>
      <c r="U163" s="1" t="str">
        <v>Male</v>
      </c>
      <c r="V163" s="1">
        <v>961</v>
      </c>
      <c r="W163" s="1"/>
    </row>
    <row r="164" spans="3:23">
      <c r="C164" t="str">
        <v>PR40477</v>
      </c>
      <c r="D164" t="str">
        <v>Nicole</v>
      </c>
      <c r="E164" t="str">
        <v>Veeravasarapu</v>
      </c>
      <c r="F164" t="str">
        <v>Customer Service</v>
      </c>
      <c r="G164">
        <v>155</v>
      </c>
      <c r="K164" s="1" t="str">
        <v>PR98182</v>
      </c>
      <c r="L164" s="1" t="str">
        <v>Günter</v>
      </c>
      <c r="M164" s="1" t="str">
        <v>Carter</v>
      </c>
      <c r="N164" s="1" t="str">
        <v>Male</v>
      </c>
      <c r="O164" s="1">
        <v>817</v>
      </c>
      <c r="P164" s="2"/>
      <c r="Q164" s="1"/>
      <c r="R164" s="1" t="str">
        <v>PR76979</v>
      </c>
      <c r="S164" s="3" t="str">
        <v>Petra</v>
      </c>
      <c r="T164" s="1" t="str">
        <v>Hill</v>
      </c>
      <c r="U164" s="1" t="str">
        <v>Male</v>
      </c>
      <c r="V164" s="1">
        <v>549</v>
      </c>
      <c r="W164" s="1"/>
    </row>
    <row r="165" spans="3:23">
      <c r="C165" t="str">
        <v>PR77328</v>
      </c>
      <c r="D165" t="str">
        <v>Markus</v>
      </c>
      <c r="E165" t="str">
        <v>Damarsingh</v>
      </c>
      <c r="F165" t="str">
        <v>Marketing</v>
      </c>
      <c r="G165">
        <v>172</v>
      </c>
      <c r="K165" s="1" t="str">
        <v>PR69530</v>
      </c>
      <c r="L165" s="1" t="str">
        <v>Konrad</v>
      </c>
      <c r="M165" s="1" t="str">
        <v>Jackson</v>
      </c>
      <c r="N165" s="1" t="str">
        <v>Male</v>
      </c>
      <c r="O165" s="1">
        <v>721</v>
      </c>
      <c r="P165" s="2"/>
      <c r="Q165" s="1"/>
      <c r="R165" s="1" t="str">
        <v>PR90268</v>
      </c>
      <c r="S165" s="3" t="str">
        <v>Günter</v>
      </c>
      <c r="T165" s="1" t="str">
        <v>Hall</v>
      </c>
      <c r="U165" s="1" t="str">
        <v>Male</v>
      </c>
      <c r="V165" s="1">
        <v>619</v>
      </c>
      <c r="W165" s="1"/>
    </row>
    <row r="166" spans="3:23">
      <c r="C166" t="str">
        <v>PR98182</v>
      </c>
      <c r="D166" t="str">
        <v>Günter</v>
      </c>
      <c r="E166" t="str">
        <v>Carter</v>
      </c>
      <c r="F166" t="str">
        <v>IT</v>
      </c>
      <c r="G166">
        <v>111</v>
      </c>
      <c r="K166" s="1" t="str">
        <v>PR82142</v>
      </c>
      <c r="L166" s="1" t="str">
        <v>Thomas</v>
      </c>
      <c r="M166" s="1" t="str">
        <v>Chapelbow</v>
      </c>
      <c r="N166" s="1" t="str">
        <v>Male</v>
      </c>
      <c r="O166" s="1">
        <v>948</v>
      </c>
      <c r="P166" s="2"/>
      <c r="Q166" s="1"/>
      <c r="R166" s="1" t="str">
        <v>PR74683</v>
      </c>
      <c r="S166" s="3" t="str">
        <v>Elfriede</v>
      </c>
      <c r="T166" s="1" t="str">
        <v>Ricardot</v>
      </c>
      <c r="U166" s="1" t="str">
        <v>Male</v>
      </c>
      <c r="V166" s="1">
        <v>887</v>
      </c>
      <c r="W166" s="1"/>
    </row>
    <row r="167" spans="3:23">
      <c r="C167" t="str">
        <v>PR91157</v>
      </c>
      <c r="D167" t="str">
        <v>Inger</v>
      </c>
      <c r="E167" t="str">
        <v>Lewis</v>
      </c>
      <c r="F167" t="str">
        <v>IT</v>
      </c>
      <c r="G167">
        <v>156</v>
      </c>
      <c r="K167" s="1" t="str">
        <v>PR93463</v>
      </c>
      <c r="L167" s="1" t="str">
        <v>Hildegard</v>
      </c>
      <c r="M167" s="1" t="str">
        <v>Shipsey</v>
      </c>
      <c r="N167" s="1" t="str">
        <v>Female</v>
      </c>
      <c r="O167" s="1">
        <v>556</v>
      </c>
      <c r="P167" s="2"/>
      <c r="Q167" s="1"/>
      <c r="R167" s="1" t="str">
        <v>PR67283</v>
      </c>
      <c r="S167" s="3" t="str">
        <v>Hogan</v>
      </c>
      <c r="T167" s="1" t="str">
        <v>Lee</v>
      </c>
      <c r="U167" s="1" t="str">
        <v>Male</v>
      </c>
      <c r="V167" s="1">
        <v>904</v>
      </c>
      <c r="W167" s="1"/>
    </row>
    <row r="168" spans="3:23">
      <c r="C168" t="str">
        <v>PR69530</v>
      </c>
      <c r="D168" t="str">
        <v>Konrad</v>
      </c>
      <c r="E168" t="str">
        <v>Jackson</v>
      </c>
      <c r="F168" t="str">
        <v>Finance</v>
      </c>
      <c r="G168">
        <v>170</v>
      </c>
      <c r="K168" s="1" t="str">
        <v>PR78766</v>
      </c>
      <c r="L168" s="1" t="str">
        <v>Thomas</v>
      </c>
      <c r="M168" s="1" t="str">
        <v>Young</v>
      </c>
      <c r="N168" s="1" t="str">
        <v>Female</v>
      </c>
      <c r="O168" s="1">
        <v>994</v>
      </c>
      <c r="P168" s="2"/>
      <c r="Q168" s="1"/>
      <c r="R168" s="1" t="str">
        <v>PR38157</v>
      </c>
      <c r="S168" s="3" t="str">
        <v>Helmut</v>
      </c>
      <c r="T168" s="1" t="str">
        <v>Hall</v>
      </c>
      <c r="U168" s="1" t="str">
        <v>Male</v>
      </c>
      <c r="V168" s="1">
        <v>907</v>
      </c>
      <c r="W168" s="1"/>
    </row>
    <row r="169" spans="3:23">
      <c r="C169" t="str">
        <v>PR82142</v>
      </c>
      <c r="D169" t="str">
        <v>Thomas</v>
      </c>
      <c r="E169" t="str">
        <v>Chapelbow</v>
      </c>
      <c r="F169" t="str">
        <v>Customer Service</v>
      </c>
      <c r="G169">
        <v>121</v>
      </c>
      <c r="K169" s="1" t="str">
        <v>PR91052</v>
      </c>
      <c r="L169" s="1" t="str">
        <v>Gerhard</v>
      </c>
      <c r="M169" s="1" t="str">
        <v>Flores</v>
      </c>
      <c r="N169" s="1" t="str">
        <v>Male</v>
      </c>
      <c r="O169" s="1">
        <v>556</v>
      </c>
      <c r="P169" s="2"/>
      <c r="Q169" s="1"/>
      <c r="R169" s="1" t="str">
        <v>PR25542</v>
      </c>
      <c r="S169" s="3" t="str">
        <v>Helmut</v>
      </c>
      <c r="T169" s="1" t="str">
        <v>Thompson</v>
      </c>
      <c r="U169" s="1" t="str">
        <v>Male</v>
      </c>
      <c r="V169" s="1">
        <v>853</v>
      </c>
      <c r="W169" s="1"/>
    </row>
    <row r="170" spans="3:23">
      <c r="C170" t="str">
        <v>PR63635</v>
      </c>
      <c r="D170" t="str">
        <v>Günter</v>
      </c>
      <c r="E170" t="str">
        <v>Young</v>
      </c>
      <c r="F170" t="str">
        <v>Research and Development</v>
      </c>
      <c r="G170">
        <v>155</v>
      </c>
      <c r="K170" s="1" t="str">
        <v>PR35851</v>
      </c>
      <c r="L170" s="1" t="str">
        <v>Siegfried</v>
      </c>
      <c r="M170" s="1" t="str">
        <v>Wilson</v>
      </c>
      <c r="N170" s="1" t="str">
        <v>Female</v>
      </c>
      <c r="O170" s="1">
        <v>608</v>
      </c>
      <c r="P170" s="2"/>
      <c r="Q170" s="1"/>
      <c r="R170" s="1" t="str">
        <v>PR23512</v>
      </c>
      <c r="S170" s="3" t="str">
        <v>Elfriede</v>
      </c>
      <c r="T170" s="1" t="str">
        <v>Martin</v>
      </c>
      <c r="U170" s="1" t="str">
        <v>Male</v>
      </c>
      <c r="V170" s="1">
        <v>561</v>
      </c>
      <c r="W170" s="1"/>
    </row>
    <row r="171" spans="3:23">
      <c r="C171" t="str">
        <v>PR47016</v>
      </c>
      <c r="D171" t="str">
        <v>Beryl</v>
      </c>
      <c r="E171" t="str">
        <v>Collier</v>
      </c>
      <c r="F171" t="str">
        <v>Data Analytics</v>
      </c>
      <c r="G171">
        <v>155</v>
      </c>
      <c r="K171" s="1" t="str">
        <v>PR49602</v>
      </c>
      <c r="L171" s="1" t="str">
        <v>Billi</v>
      </c>
      <c r="M171" s="1" t="str">
        <v>Green</v>
      </c>
      <c r="N171" s="1" t="str">
        <v>Male</v>
      </c>
      <c r="O171" s="1">
        <v>719</v>
      </c>
      <c r="P171" s="2"/>
      <c r="Q171" s="1"/>
      <c r="R171" s="1" t="str">
        <v>PR98714</v>
      </c>
      <c r="S171" s="3" t="str">
        <v>Günter</v>
      </c>
      <c r="T171" s="1" t="str">
        <v>Parker</v>
      </c>
      <c r="U171" s="1" t="str">
        <v>Male</v>
      </c>
      <c r="V171" s="1">
        <v>642</v>
      </c>
      <c r="W171" s="1"/>
    </row>
    <row r="172" spans="3:23">
      <c r="C172" t="str">
        <v>PR93463</v>
      </c>
      <c r="D172" t="str">
        <v>Hildegard</v>
      </c>
      <c r="E172" t="str">
        <v>Shipsey</v>
      </c>
      <c r="F172" t="str">
        <v>Finance</v>
      </c>
      <c r="G172">
        <v>142</v>
      </c>
      <c r="K172" s="1" t="str">
        <v>PR26226</v>
      </c>
      <c r="L172" s="1" t="str">
        <v>Günter</v>
      </c>
      <c r="M172" s="1" t="str">
        <v>Chapelbow</v>
      </c>
      <c r="N172" s="1" t="str">
        <v>Female</v>
      </c>
      <c r="O172" s="1">
        <v>865</v>
      </c>
      <c r="P172" s="2"/>
      <c r="Q172" s="1"/>
      <c r="R172" s="1" t="str">
        <v>PR91250</v>
      </c>
      <c r="S172" s="3" t="str">
        <v>Helmut</v>
      </c>
      <c r="T172" s="1" t="str">
        <v>King</v>
      </c>
      <c r="U172" s="1" t="str">
        <v>Male</v>
      </c>
      <c r="V172" s="1">
        <v>566</v>
      </c>
      <c r="W172" s="1"/>
    </row>
    <row r="173" spans="3:23">
      <c r="C173" t="str">
        <v>PR98095</v>
      </c>
      <c r="D173" t="str">
        <v>Vasavi</v>
      </c>
      <c r="E173" t="str">
        <v>Walker</v>
      </c>
      <c r="F173" t="str">
        <v>Human Resources</v>
      </c>
      <c r="G173">
        <v>111</v>
      </c>
      <c r="K173" s="1" t="str">
        <v>PR13247</v>
      </c>
      <c r="L173" s="1" t="str">
        <v>Dieter</v>
      </c>
      <c r="M173" s="1" t="str">
        <v>Torres</v>
      </c>
      <c r="N173" s="1" t="str">
        <v>Female</v>
      </c>
      <c r="O173" s="1">
        <v>700</v>
      </c>
      <c r="P173" s="2"/>
      <c r="Q173" s="1"/>
      <c r="R173" s="1" t="str">
        <v>PR40888</v>
      </c>
      <c r="S173" s="3" t="str">
        <v>Gerhard</v>
      </c>
      <c r="T173" s="1" t="str">
        <v>Shipsey</v>
      </c>
      <c r="U173" s="1" t="str">
        <v>Male</v>
      </c>
      <c r="V173" s="1">
        <v>969</v>
      </c>
      <c r="W173" s="1"/>
    </row>
    <row r="174" spans="3:23">
      <c r="C174" t="str">
        <v>PR61061</v>
      </c>
      <c r="D174" t="str">
        <v>Petra</v>
      </c>
      <c r="E174" t="str">
        <v>Torres</v>
      </c>
      <c r="F174" t="str">
        <v>Engineering</v>
      </c>
      <c r="G174">
        <v>136</v>
      </c>
      <c r="K174" s="1" t="str">
        <v>PR27029</v>
      </c>
      <c r="L174" s="1" t="str">
        <v>Vasavi</v>
      </c>
      <c r="M174" s="1" t="str">
        <v>Martin</v>
      </c>
      <c r="N174" s="1" t="str">
        <v>Female</v>
      </c>
      <c r="O174" s="1">
        <v>802</v>
      </c>
      <c r="P174" s="2"/>
      <c r="Q174" s="1"/>
      <c r="R174" s="1" t="str">
        <v>PR71574</v>
      </c>
      <c r="S174" s="3" t="str">
        <v>Anna</v>
      </c>
      <c r="T174" s="1" t="str">
        <v>Perez</v>
      </c>
      <c r="U174" s="1" t="str">
        <v>Male</v>
      </c>
      <c r="V174" s="1">
        <v>995</v>
      </c>
      <c r="W174" s="1"/>
    </row>
    <row r="175" spans="3:23">
      <c r="C175" t="str">
        <v>PR91052</v>
      </c>
      <c r="D175" t="str">
        <v>Gerhard</v>
      </c>
      <c r="E175" t="str">
        <v>Flores</v>
      </c>
      <c r="F175" t="str">
        <v>Customer Service</v>
      </c>
      <c r="G175">
        <v>121</v>
      </c>
      <c r="K175" s="1" t="str">
        <v>PR20780</v>
      </c>
      <c r="L175" s="1" t="str">
        <v>Stefan</v>
      </c>
      <c r="M175" s="1" t="str">
        <v>Wilson</v>
      </c>
      <c r="N175" s="1" t="str">
        <v>Female</v>
      </c>
      <c r="O175" s="1">
        <v>986</v>
      </c>
      <c r="P175" s="2"/>
      <c r="Q175" s="1"/>
      <c r="R175" s="1" t="str">
        <v>PR25099</v>
      </c>
      <c r="S175" s="3" t="str">
        <v>Lothar</v>
      </c>
      <c r="T175" s="1" t="str">
        <v>Phillips</v>
      </c>
      <c r="U175" s="1" t="str">
        <v>Male</v>
      </c>
      <c r="V175" s="1">
        <v>898</v>
      </c>
      <c r="W175" s="1"/>
    </row>
    <row r="176" spans="3:23">
      <c r="C176" t="str">
        <v>PR35851</v>
      </c>
      <c r="D176" t="str">
        <v>Siegfried</v>
      </c>
      <c r="E176" t="str">
        <v>Wilson</v>
      </c>
      <c r="F176" t="str">
        <v>Research and Development</v>
      </c>
      <c r="G176">
        <v>132</v>
      </c>
      <c r="K176" s="1" t="str">
        <v>PR49683</v>
      </c>
      <c r="L176" s="1" t="str">
        <v>Rainer</v>
      </c>
      <c r="M176" s="1" t="str">
        <v>Adams</v>
      </c>
      <c r="N176" s="1" t="str">
        <v>Male</v>
      </c>
      <c r="O176" s="1">
        <v>514</v>
      </c>
      <c r="P176" s="2"/>
      <c r="Q176" s="1"/>
      <c r="R176" s="1" t="str">
        <v>PR61584</v>
      </c>
      <c r="S176" s="3" t="str">
        <v>Jürgen</v>
      </c>
      <c r="T176" s="1" t="str">
        <v>Veeravasarapu</v>
      </c>
      <c r="U176" s="1" t="str">
        <v>Male</v>
      </c>
      <c r="V176" s="1">
        <v>763</v>
      </c>
      <c r="W176" s="1"/>
    </row>
    <row r="177" spans="3:23">
      <c r="C177" t="str">
        <v>PR82422</v>
      </c>
      <c r="D177" t="str">
        <v>Ingrid</v>
      </c>
      <c r="E177" t="str">
        <v>Shipsey</v>
      </c>
      <c r="F177" t="str">
        <v>Research and Development</v>
      </c>
      <c r="G177">
        <v>151</v>
      </c>
      <c r="K177" s="1" t="str">
        <v>PR95655</v>
      </c>
      <c r="L177" s="1" t="str">
        <v>Inger</v>
      </c>
      <c r="M177" s="1" t="str">
        <v>Green</v>
      </c>
      <c r="N177" s="1" t="str">
        <v>Female</v>
      </c>
      <c r="O177" s="1">
        <v>659</v>
      </c>
      <c r="P177" s="2"/>
      <c r="Q177" s="1"/>
      <c r="R177" s="1" t="str">
        <v>PR24187</v>
      </c>
      <c r="S177" s="3" t="str">
        <v>Peter</v>
      </c>
      <c r="T177" s="1" t="str">
        <v>Martinez</v>
      </c>
      <c r="U177" s="1" t="str">
        <v>Male</v>
      </c>
      <c r="V177" s="1">
        <v>606</v>
      </c>
      <c r="W177" s="1"/>
    </row>
    <row r="178" spans="3:23">
      <c r="C178" t="str">
        <v>PR70509</v>
      </c>
      <c r="D178" t="str">
        <v>Hogan</v>
      </c>
      <c r="E178" t="str">
        <v>Perez</v>
      </c>
      <c r="F178" t="str">
        <v>Accounting</v>
      </c>
      <c r="G178">
        <v>111</v>
      </c>
      <c r="K178" s="1" t="str">
        <v>PR30484</v>
      </c>
      <c r="L178" s="1" t="str">
        <v>Erich</v>
      </c>
      <c r="M178" s="1" t="str">
        <v>Burnsyde</v>
      </c>
      <c r="N178" s="1" t="str">
        <v>Male</v>
      </c>
      <c r="O178" s="1">
        <v>649</v>
      </c>
      <c r="P178" s="2"/>
      <c r="Q178" s="1"/>
      <c r="R178" s="1" t="str">
        <v>PR54578</v>
      </c>
      <c r="S178" s="3" t="str">
        <v>Monika</v>
      </c>
      <c r="T178" s="1" t="str">
        <v>Iles</v>
      </c>
      <c r="U178" s="1" t="str">
        <v>Male</v>
      </c>
      <c r="V178" s="1">
        <v>839</v>
      </c>
      <c r="W178" s="1"/>
    </row>
    <row r="179" spans="3:23">
      <c r="C179" t="str">
        <v>PR26226</v>
      </c>
      <c r="D179" t="str">
        <v>Günter</v>
      </c>
      <c r="E179" t="str">
        <v>Chapelbow</v>
      </c>
      <c r="F179" t="str">
        <v>IT</v>
      </c>
      <c r="G179">
        <v>153</v>
      </c>
      <c r="K179" s="1" t="str">
        <v>PR55285</v>
      </c>
      <c r="L179" s="1" t="str">
        <v>Anna</v>
      </c>
      <c r="M179" s="1" t="str">
        <v>Perez</v>
      </c>
      <c r="N179" s="1" t="str">
        <v>Female</v>
      </c>
      <c r="O179" s="1">
        <v>512</v>
      </c>
      <c r="P179" s="2"/>
      <c r="Q179" s="1"/>
      <c r="R179" s="1" t="str">
        <v>PR42232</v>
      </c>
      <c r="S179" s="3" t="str">
        <v>Renate</v>
      </c>
      <c r="T179" s="1" t="str">
        <v>Flores</v>
      </c>
      <c r="U179" s="1" t="str">
        <v>Male</v>
      </c>
      <c r="V179" s="1">
        <v>554</v>
      </c>
      <c r="W179" s="1"/>
    </row>
    <row r="180" spans="3:23">
      <c r="C180" t="str">
        <v>PR13247</v>
      </c>
      <c r="D180" t="str">
        <v>Dieter</v>
      </c>
      <c r="E180" t="str">
        <v>Torres</v>
      </c>
      <c r="F180" t="str">
        <v>Engineering</v>
      </c>
      <c r="G180">
        <v>119</v>
      </c>
      <c r="K180" s="1" t="str">
        <v>PR39332</v>
      </c>
      <c r="L180" s="1" t="str">
        <v>Helmut</v>
      </c>
      <c r="M180" s="1" t="str">
        <v>Clark</v>
      </c>
      <c r="N180" s="1" t="str">
        <v>Female</v>
      </c>
      <c r="O180" s="1">
        <v>980</v>
      </c>
      <c r="P180" s="2"/>
      <c r="Q180" s="1"/>
      <c r="R180" s="1"/>
      <c r="S180" s="3"/>
      <c r="T180" s="1"/>
      <c r="U180" s="1"/>
      <c r="V180" s="1"/>
      <c r="W180" s="1"/>
    </row>
    <row r="181" spans="3:23">
      <c r="C181" t="str">
        <v>PR44590</v>
      </c>
      <c r="D181" t="str">
        <v>Ingrid</v>
      </c>
      <c r="E181" t="str">
        <v>Green</v>
      </c>
      <c r="F181" t="str">
        <v>Legal</v>
      </c>
      <c r="G181">
        <v>176</v>
      </c>
      <c r="K181" s="1" t="str">
        <v>PR75288</v>
      </c>
      <c r="L181" s="1" t="str">
        <v>Julia</v>
      </c>
      <c r="M181" s="1" t="str">
        <v>Brown</v>
      </c>
      <c r="N181" s="1" t="str">
        <v>Female</v>
      </c>
      <c r="O181" s="1">
        <v>876</v>
      </c>
      <c r="P181" s="2"/>
      <c r="Q181" s="1"/>
      <c r="R181" s="1"/>
      <c r="S181" s="3"/>
      <c r="T181" s="1"/>
      <c r="U181" s="1"/>
      <c r="V181" s="1"/>
      <c r="W181" s="1"/>
    </row>
    <row r="182" spans="3:23">
      <c r="C182" t="str">
        <v>PR11905</v>
      </c>
      <c r="D182" t="str">
        <v>Husein</v>
      </c>
      <c r="E182" t="str">
        <v>Walker</v>
      </c>
      <c r="F182" t="str">
        <v>Engineering</v>
      </c>
      <c r="G182">
        <v>146</v>
      </c>
      <c r="K182" s="1" t="str">
        <v>PR27384</v>
      </c>
      <c r="L182" s="1" t="str">
        <v>Robert</v>
      </c>
      <c r="M182" s="1" t="str">
        <v>Veeravasarapu</v>
      </c>
      <c r="N182" s="1" t="str">
        <v>Male</v>
      </c>
      <c r="O182" s="1">
        <v>716</v>
      </c>
      <c r="P182" s="2"/>
      <c r="Q182" s="1"/>
      <c r="R182" s="1"/>
      <c r="S182" s="3"/>
      <c r="T182" s="1"/>
      <c r="U182" s="1"/>
      <c r="V182" s="1"/>
      <c r="W182" s="1"/>
    </row>
    <row r="183" spans="3:23">
      <c r="C183" t="str">
        <v>PR27029</v>
      </c>
      <c r="D183" t="str">
        <v>Vasavi</v>
      </c>
      <c r="E183" t="str">
        <v>Martin</v>
      </c>
      <c r="F183" t="str">
        <v>Customer Service</v>
      </c>
      <c r="G183">
        <v>173</v>
      </c>
      <c r="K183" s="1" t="str">
        <v>PR71709</v>
      </c>
      <c r="L183" s="1" t="str">
        <v>Monika</v>
      </c>
      <c r="M183" s="1" t="str">
        <v>Johnson</v>
      </c>
      <c r="N183" s="1" t="str">
        <v>Male</v>
      </c>
      <c r="O183" s="1">
        <v>655</v>
      </c>
      <c r="P183" s="2"/>
      <c r="Q183" s="1"/>
      <c r="R183" s="1"/>
      <c r="S183" s="3"/>
      <c r="T183" s="1"/>
      <c r="U183" s="1"/>
      <c r="V183" s="1"/>
      <c r="W183" s="1"/>
    </row>
    <row r="184" spans="3:23">
      <c r="C184" t="str">
        <v>PR87418</v>
      </c>
      <c r="D184" t="str">
        <v>Monika</v>
      </c>
      <c r="E184" t="str">
        <v>Nelson</v>
      </c>
      <c r="F184" t="str">
        <v>Accounting</v>
      </c>
      <c r="G184">
        <v>172</v>
      </c>
      <c r="K184" s="1" t="str">
        <v>PR13962</v>
      </c>
      <c r="L184" s="1" t="str">
        <v>Peter</v>
      </c>
      <c r="M184" s="1" t="str">
        <v>Augar</v>
      </c>
      <c r="N184" s="1" t="str">
        <v>Male</v>
      </c>
      <c r="O184" s="1">
        <v>639</v>
      </c>
      <c r="P184" s="2"/>
      <c r="Q184" s="1"/>
      <c r="R184" s="1"/>
      <c r="S184" s="3"/>
      <c r="T184" s="1"/>
      <c r="U184" s="1"/>
      <c r="V184" s="1"/>
      <c r="W184" s="1"/>
    </row>
    <row r="185" spans="3:23">
      <c r="C185" t="str">
        <v>PR29693</v>
      </c>
      <c r="D185" t="str">
        <v>Lisa</v>
      </c>
      <c r="E185" t="str">
        <v>Brown</v>
      </c>
      <c r="F185" t="str">
        <v>Training</v>
      </c>
      <c r="G185">
        <v>126</v>
      </c>
      <c r="K185" s="1" t="str">
        <v>PR44140</v>
      </c>
      <c r="L185" s="1" t="str">
        <v>Helmut</v>
      </c>
      <c r="M185" s="1" t="str">
        <v>Torres</v>
      </c>
      <c r="N185" s="1" t="str">
        <v>Female</v>
      </c>
      <c r="O185" s="1">
        <v>742</v>
      </c>
      <c r="P185" s="2"/>
      <c r="Q185" s="1"/>
      <c r="R185" s="1"/>
      <c r="S185" s="3"/>
      <c r="T185" s="1"/>
      <c r="U185" s="1"/>
      <c r="V185" s="1"/>
      <c r="W185" s="1"/>
    </row>
    <row r="186" spans="3:23">
      <c r="C186" t="str">
        <v>PR21481</v>
      </c>
      <c r="D186" t="str">
        <v>Waltraud</v>
      </c>
      <c r="E186" t="str">
        <v>Johnson</v>
      </c>
      <c r="F186" t="str">
        <v>Marketing</v>
      </c>
      <c r="G186">
        <v>138</v>
      </c>
      <c r="K186" s="1" t="str">
        <v>PR96102</v>
      </c>
      <c r="L186" s="1" t="str">
        <v>Siegfried</v>
      </c>
      <c r="M186" s="1" t="str">
        <v>Taylor</v>
      </c>
      <c r="N186" s="1" t="str">
        <v>Male</v>
      </c>
      <c r="O186" s="1">
        <v>961</v>
      </c>
      <c r="P186" s="2"/>
      <c r="Q186" s="1"/>
      <c r="R186" s="1"/>
      <c r="S186" s="3"/>
      <c r="T186" s="1"/>
      <c r="U186" s="1"/>
      <c r="V186" s="1"/>
      <c r="W186" s="1"/>
    </row>
    <row r="187" spans="3:23">
      <c r="C187" t="str">
        <v>PR42301</v>
      </c>
      <c r="D187" t="str">
        <v>Laura</v>
      </c>
      <c r="E187" t="str">
        <v>Williams</v>
      </c>
      <c r="F187" t="str">
        <v>Sales</v>
      </c>
      <c r="G187">
        <v>175</v>
      </c>
      <c r="K187" s="1" t="str">
        <v>PR57148</v>
      </c>
      <c r="L187" s="1" t="str">
        <v>Horst</v>
      </c>
      <c r="M187" s="1" t="str">
        <v>Brown</v>
      </c>
      <c r="N187" s="1" t="str">
        <v>Female</v>
      </c>
      <c r="O187" s="1">
        <v>770</v>
      </c>
      <c r="P187" s="2"/>
      <c r="Q187" s="1"/>
      <c r="R187" s="1"/>
      <c r="S187" s="3"/>
      <c r="T187" s="1"/>
      <c r="U187" s="1"/>
      <c r="V187" s="1"/>
      <c r="W187" s="1"/>
    </row>
    <row r="188" spans="3:23">
      <c r="C188" t="str">
        <v>PR20780</v>
      </c>
      <c r="D188" t="str">
        <v>Stefan</v>
      </c>
      <c r="E188" t="str">
        <v>Wilson</v>
      </c>
      <c r="F188" t="str">
        <v>Sales</v>
      </c>
      <c r="G188">
        <v>150</v>
      </c>
      <c r="K188" s="1" t="str">
        <v>PR86832</v>
      </c>
      <c r="L188" s="1" t="str">
        <v>Erich</v>
      </c>
      <c r="M188" s="1" t="str">
        <v>Martinez</v>
      </c>
      <c r="N188" s="1" t="str">
        <v>Female</v>
      </c>
      <c r="O188" s="1">
        <v>759</v>
      </c>
      <c r="P188" s="2"/>
      <c r="Q188" s="1"/>
      <c r="R188" s="1"/>
      <c r="S188" s="3"/>
      <c r="T188" s="1"/>
      <c r="U188" s="1"/>
      <c r="V188" s="1"/>
      <c r="W188" s="1"/>
    </row>
    <row r="189" spans="3:23">
      <c r="C189" t="str">
        <v>PR49683</v>
      </c>
      <c r="D189" t="str">
        <v>Rainer</v>
      </c>
      <c r="E189" t="str">
        <v>Adams</v>
      </c>
      <c r="F189" t="str">
        <v>Product Management</v>
      </c>
      <c r="G189">
        <v>154</v>
      </c>
      <c r="K189" s="1" t="str">
        <v>PR52161</v>
      </c>
      <c r="L189" s="1" t="str">
        <v>Elfriede</v>
      </c>
      <c r="M189" s="1" t="str">
        <v>Robinson</v>
      </c>
      <c r="N189" s="1" t="str">
        <v>Female</v>
      </c>
      <c r="O189" s="1">
        <v>727</v>
      </c>
      <c r="P189" s="2"/>
      <c r="Q189" s="1"/>
      <c r="R189" s="1"/>
      <c r="S189" s="3"/>
      <c r="T189" s="1"/>
      <c r="U189" s="1"/>
      <c r="V189" s="1"/>
      <c r="W189" s="1"/>
    </row>
    <row r="190" spans="3:23">
      <c r="C190" t="str">
        <v>PR55285</v>
      </c>
      <c r="D190" t="str">
        <v>Anna</v>
      </c>
      <c r="E190" t="str">
        <v>Perez</v>
      </c>
      <c r="F190" t="str">
        <v>Training</v>
      </c>
      <c r="G190">
        <v>108</v>
      </c>
      <c r="K190" s="1" t="str">
        <v>PR76979</v>
      </c>
      <c r="L190" s="1" t="str">
        <v>Petra</v>
      </c>
      <c r="M190" s="1" t="str">
        <v>Hill</v>
      </c>
      <c r="N190" s="1" t="str">
        <v>Male</v>
      </c>
      <c r="O190" s="1">
        <v>549</v>
      </c>
      <c r="P190" s="2"/>
      <c r="Q190" s="1"/>
      <c r="R190" s="1"/>
      <c r="S190" s="3"/>
      <c r="T190" s="1"/>
      <c r="U190" s="1"/>
      <c r="V190" s="1"/>
      <c r="W190" s="1"/>
    </row>
    <row r="191" spans="3:23">
      <c r="C191" t="str">
        <v>PR39332</v>
      </c>
      <c r="D191" t="str">
        <v>Helmut</v>
      </c>
      <c r="E191" t="str">
        <v>Clark</v>
      </c>
      <c r="F191" t="str">
        <v>Business Development</v>
      </c>
      <c r="G191">
        <v>133</v>
      </c>
      <c r="K191" s="1" t="str">
        <v>PR30716</v>
      </c>
      <c r="L191" s="1" t="str">
        <v>Anna</v>
      </c>
      <c r="M191" s="1" t="str">
        <v>Garcia</v>
      </c>
      <c r="N191" s="1" t="str">
        <v>Female</v>
      </c>
      <c r="O191" s="1">
        <v>877</v>
      </c>
      <c r="P191" s="2"/>
      <c r="Q191" s="1"/>
      <c r="R191" s="1"/>
      <c r="S191" s="3"/>
      <c r="T191" s="1"/>
      <c r="U191" s="1"/>
      <c r="V191" s="1"/>
      <c r="W191" s="1"/>
    </row>
    <row r="192" spans="3:23">
      <c r="C192" t="str">
        <v>PR57546</v>
      </c>
      <c r="D192" t="str">
        <v>Devrat</v>
      </c>
      <c r="E192" t="str">
        <v>Thomas</v>
      </c>
      <c r="F192" t="str">
        <v>Training</v>
      </c>
      <c r="G192">
        <v>178</v>
      </c>
      <c r="K192" s="1" t="str">
        <v>PR90268</v>
      </c>
      <c r="L192" s="1" t="str">
        <v>Günter</v>
      </c>
      <c r="M192" s="1" t="str">
        <v>Hall</v>
      </c>
      <c r="N192" s="1" t="str">
        <v>Male</v>
      </c>
      <c r="O192" s="1">
        <v>619</v>
      </c>
      <c r="P192" s="2"/>
      <c r="Q192" s="1"/>
      <c r="R192" s="1"/>
      <c r="S192" s="3"/>
      <c r="T192" s="1"/>
      <c r="U192" s="1"/>
      <c r="V192" s="1"/>
      <c r="W192" s="1"/>
    </row>
    <row r="193" spans="3:23">
      <c r="C193" t="str">
        <v>PR40493</v>
      </c>
      <c r="D193" t="str">
        <v>Jill</v>
      </c>
      <c r="E193" t="str">
        <v>Evans</v>
      </c>
      <c r="F193" t="str">
        <v>Data Analytics</v>
      </c>
      <c r="G193">
        <v>165</v>
      </c>
      <c r="K193" s="1" t="str">
        <v>PR74683</v>
      </c>
      <c r="L193" s="1" t="str">
        <v>Elfriede</v>
      </c>
      <c r="M193" s="1" t="str">
        <v>Ricardot</v>
      </c>
      <c r="N193" s="1" t="str">
        <v>Male</v>
      </c>
      <c r="O193" s="1">
        <v>887</v>
      </c>
      <c r="P193" s="2"/>
      <c r="Q193" s="1"/>
      <c r="R193" s="1"/>
      <c r="S193" s="3"/>
      <c r="T193" s="1"/>
      <c r="U193" s="1"/>
      <c r="V193" s="1"/>
      <c r="W193" s="1"/>
    </row>
    <row r="194" spans="3:23">
      <c r="C194" t="str">
        <v>PR27384</v>
      </c>
      <c r="D194" t="str">
        <v>Robert</v>
      </c>
      <c r="E194" t="str">
        <v>Veeravasarapu</v>
      </c>
      <c r="F194" t="str">
        <v>Accounting</v>
      </c>
      <c r="G194">
        <v>175</v>
      </c>
      <c r="K194" s="1" t="str">
        <v>PR67283</v>
      </c>
      <c r="L194" s="1" t="str">
        <v>Hogan</v>
      </c>
      <c r="M194" s="1" t="str">
        <v>Lee</v>
      </c>
      <c r="N194" s="1" t="str">
        <v>Male</v>
      </c>
      <c r="O194" s="1">
        <v>904</v>
      </c>
      <c r="P194" s="2"/>
      <c r="Q194" s="1"/>
      <c r="R194" s="1"/>
      <c r="S194" s="3"/>
      <c r="T194" s="1"/>
      <c r="U194" s="1"/>
      <c r="V194" s="1"/>
      <c r="W194" s="1"/>
    </row>
    <row r="195" spans="3:23">
      <c r="C195" t="str">
        <v>PR52722</v>
      </c>
      <c r="D195" t="str">
        <v>Laura</v>
      </c>
      <c r="E195" t="str">
        <v>Brown</v>
      </c>
      <c r="F195" t="str">
        <v>Customer Service</v>
      </c>
      <c r="G195">
        <v>170</v>
      </c>
      <c r="K195" s="1" t="str">
        <v>PR27285</v>
      </c>
      <c r="L195" s="1" t="str">
        <v>Michael</v>
      </c>
      <c r="M195" s="1" t="str">
        <v>Phillips</v>
      </c>
      <c r="N195" s="1" t="str">
        <v>Female</v>
      </c>
      <c r="O195" s="1">
        <v>538</v>
      </c>
      <c r="P195" s="2"/>
      <c r="Q195" s="1"/>
      <c r="R195" s="1"/>
      <c r="S195" s="3"/>
      <c r="T195" s="1"/>
      <c r="U195" s="1"/>
      <c r="V195" s="1"/>
      <c r="W195" s="1"/>
    </row>
    <row r="196" spans="3:23">
      <c r="C196" t="str">
        <v>PR71709</v>
      </c>
      <c r="D196" t="str">
        <v>Monika</v>
      </c>
      <c r="E196" t="str">
        <v>Johnson</v>
      </c>
      <c r="F196" t="str">
        <v>Engineering</v>
      </c>
      <c r="G196">
        <v>129</v>
      </c>
      <c r="K196" s="1" t="str">
        <v>PR79579</v>
      </c>
      <c r="L196" s="1" t="str">
        <v>Werner</v>
      </c>
      <c r="M196" s="1" t="str">
        <v>Phillips</v>
      </c>
      <c r="N196" s="1" t="str">
        <v>Female</v>
      </c>
      <c r="O196" s="1">
        <v>806</v>
      </c>
      <c r="P196" s="2"/>
      <c r="Q196" s="1"/>
      <c r="R196" s="1"/>
      <c r="S196" s="3"/>
      <c r="T196" s="1"/>
      <c r="U196" s="1"/>
      <c r="V196" s="1"/>
      <c r="W196" s="1"/>
    </row>
    <row r="197" spans="3:23">
      <c r="C197" t="str">
        <v>PR15721</v>
      </c>
      <c r="D197" t="str">
        <v>Devrat</v>
      </c>
      <c r="E197" t="str">
        <v>Jones</v>
      </c>
      <c r="F197" t="str">
        <v>IT</v>
      </c>
      <c r="G197">
        <v>159</v>
      </c>
      <c r="K197" s="1" t="str">
        <v>PR43803</v>
      </c>
      <c r="L197" s="1" t="str">
        <v>Julia</v>
      </c>
      <c r="M197" s="1" t="str">
        <v>Taylor</v>
      </c>
      <c r="N197" s="1" t="str">
        <v>Female</v>
      </c>
      <c r="O197" s="1">
        <v>947</v>
      </c>
      <c r="P197" s="2"/>
      <c r="Q197" s="1"/>
      <c r="R197" s="1"/>
      <c r="S197" s="3"/>
      <c r="T197" s="49" t="s">
        <v>379</v>
      </c>
      <c r="U197" s="1"/>
      <c r="V197" s="1"/>
      <c r="W197" s="1"/>
    </row>
    <row r="198" spans="3:23">
      <c r="C198" t="str">
        <v>PR79291</v>
      </c>
      <c r="D198" t="str">
        <v>Markus</v>
      </c>
      <c r="E198" t="str">
        <v>Jones</v>
      </c>
      <c r="F198" t="str">
        <v>Human Resources</v>
      </c>
      <c r="G198">
        <v>144</v>
      </c>
      <c r="K198" s="1" t="str">
        <v>PR38157</v>
      </c>
      <c r="L198" s="1" t="str">
        <v>Helmut</v>
      </c>
      <c r="M198" s="1" t="str">
        <v>Hall</v>
      </c>
      <c r="N198" s="1" t="str">
        <v>Male</v>
      </c>
      <c r="O198" s="1">
        <v>907</v>
      </c>
      <c r="P198" s="2"/>
      <c r="Q198" s="1"/>
      <c r="R198" s="1"/>
      <c r="S198" s="3"/>
      <c r="T198" s="1"/>
      <c r="U198" s="1"/>
      <c r="V198" s="1"/>
      <c r="W198" s="1"/>
    </row>
    <row r="199" spans="3:23">
      <c r="C199" t="str">
        <v>PR96102</v>
      </c>
      <c r="D199" t="str">
        <v>Siegfried</v>
      </c>
      <c r="E199" t="str">
        <v>Taylor</v>
      </c>
      <c r="F199" t="str">
        <v>Operations</v>
      </c>
      <c r="G199">
        <v>171</v>
      </c>
      <c r="K199" s="1" t="str">
        <v>PR25542</v>
      </c>
      <c r="L199" s="1" t="str">
        <v>Helmut</v>
      </c>
      <c r="M199" s="1" t="str">
        <v>Thompson</v>
      </c>
      <c r="N199" s="1" t="str">
        <v>Male</v>
      </c>
      <c r="O199" s="1">
        <v>853</v>
      </c>
      <c r="P199" s="2"/>
      <c r="Q199" s="1"/>
      <c r="R199" s="1"/>
      <c r="S199" s="3"/>
      <c r="T199" s="1"/>
      <c r="U199" s="1"/>
      <c r="V199" s="1"/>
      <c r="W199" s="1"/>
    </row>
    <row r="200" spans="3:23">
      <c r="C200" t="str">
        <v>PR57148</v>
      </c>
      <c r="D200" t="str">
        <v>Horst</v>
      </c>
      <c r="E200" t="str">
        <v>Brown</v>
      </c>
      <c r="F200" t="str">
        <v>Training</v>
      </c>
      <c r="G200">
        <v>154</v>
      </c>
      <c r="K200" s="1" t="str">
        <v>PR23512</v>
      </c>
      <c r="L200" s="1" t="str">
        <v>Elfriede</v>
      </c>
      <c r="M200" s="1" t="str">
        <v>Martin</v>
      </c>
      <c r="N200" s="1" t="str">
        <v>Male</v>
      </c>
      <c r="O200" s="1">
        <v>561</v>
      </c>
      <c r="P200" s="2"/>
      <c r="Q200" s="1"/>
      <c r="R200" s="1"/>
      <c r="S200" s="3"/>
      <c r="T200" s="1"/>
      <c r="U200" s="1"/>
      <c r="V200" s="1"/>
      <c r="W200" s="1"/>
    </row>
    <row r="201" spans="3:23">
      <c r="C201" t="str">
        <v>PR52184</v>
      </c>
      <c r="D201" t="str">
        <v>Lothar</v>
      </c>
      <c r="E201" t="str">
        <v>Moore</v>
      </c>
      <c r="F201" t="str">
        <v>Sales</v>
      </c>
      <c r="G201">
        <v>123</v>
      </c>
      <c r="K201" s="1" t="str">
        <v>PR95089</v>
      </c>
      <c r="L201" s="1" t="str">
        <v>Sophie</v>
      </c>
      <c r="M201" s="1" t="str">
        <v>Scott</v>
      </c>
      <c r="N201" s="1" t="str">
        <v>Female</v>
      </c>
      <c r="O201" s="1">
        <v>594</v>
      </c>
      <c r="P201" s="2"/>
      <c r="Q201" s="1"/>
      <c r="R201" s="1"/>
      <c r="S201" s="3"/>
      <c r="T201" s="1"/>
      <c r="U201" s="1"/>
      <c r="V201" s="1"/>
      <c r="W201" s="1"/>
    </row>
    <row r="202" spans="3:23">
      <c r="C202" t="str">
        <v>PR34112</v>
      </c>
      <c r="D202" t="str">
        <v>Markus</v>
      </c>
      <c r="E202" t="str">
        <v>Martinez</v>
      </c>
      <c r="F202" t="str">
        <v>Research and Development</v>
      </c>
      <c r="G202">
        <v>118</v>
      </c>
      <c r="K202" s="1" t="str">
        <v>PR98714</v>
      </c>
      <c r="L202" s="1" t="str">
        <v>Günter</v>
      </c>
      <c r="M202" s="1" t="str">
        <v>Parker</v>
      </c>
      <c r="N202" s="1" t="str">
        <v>Male</v>
      </c>
      <c r="O202" s="1">
        <v>642</v>
      </c>
      <c r="P202" s="2"/>
      <c r="Q202" s="1"/>
      <c r="R202" s="1"/>
      <c r="S202" s="3"/>
      <c r="T202" s="1"/>
      <c r="U202" s="1"/>
      <c r="V202" s="1"/>
      <c r="W202" s="1"/>
    </row>
    <row r="203" spans="3:23">
      <c r="C203" t="str">
        <v>PR78504</v>
      </c>
      <c r="D203" t="str">
        <v>Siegfried</v>
      </c>
      <c r="E203" t="str">
        <v>Shipsey</v>
      </c>
      <c r="F203" t="str">
        <v>Finance</v>
      </c>
      <c r="G203">
        <v>138</v>
      </c>
      <c r="K203" s="1" t="str">
        <v>PR91163</v>
      </c>
      <c r="L203" s="1" t="str">
        <v>Renate</v>
      </c>
      <c r="M203" s="1" t="str">
        <v>Thomas</v>
      </c>
      <c r="N203" s="1" t="str">
        <v>Female</v>
      </c>
      <c r="O203" s="1">
        <v>631</v>
      </c>
      <c r="P203" s="2"/>
      <c r="Q203" s="1"/>
      <c r="R203" s="1"/>
      <c r="S203" s="3"/>
      <c r="T203" s="1"/>
      <c r="U203" s="1"/>
      <c r="V203" s="1"/>
      <c r="W203" s="1"/>
    </row>
    <row r="204" spans="3:23">
      <c r="C204" t="str">
        <v>PR30716</v>
      </c>
      <c r="D204" t="str">
        <v>Anna</v>
      </c>
      <c r="E204" t="str">
        <v>Garcia</v>
      </c>
      <c r="F204" t="str">
        <v>Sales</v>
      </c>
      <c r="G204">
        <v>115</v>
      </c>
      <c r="K204" s="1" t="str">
        <v>PR91250</v>
      </c>
      <c r="L204" s="1" t="str">
        <v>Helmut</v>
      </c>
      <c r="M204" s="1" t="str">
        <v>King</v>
      </c>
      <c r="N204" s="1" t="str">
        <v>Male</v>
      </c>
      <c r="O204" s="1">
        <v>566</v>
      </c>
      <c r="P204" s="2"/>
      <c r="Q204" s="1"/>
      <c r="R204" s="1"/>
      <c r="S204" s="3"/>
      <c r="T204" s="1"/>
      <c r="U204" s="1"/>
      <c r="V204" s="1"/>
      <c r="W204" s="1"/>
    </row>
    <row r="205" spans="3:23">
      <c r="C205" t="str">
        <v>PR74683</v>
      </c>
      <c r="D205" t="str">
        <v>Elfriede</v>
      </c>
      <c r="E205" t="str">
        <v>Ricardot</v>
      </c>
      <c r="F205" t="str">
        <v>Engineering</v>
      </c>
      <c r="G205">
        <v>107</v>
      </c>
      <c r="K205" s="1" t="str">
        <v>PR10336</v>
      </c>
      <c r="L205" s="1" t="str">
        <v>James</v>
      </c>
      <c r="M205" s="1" t="str">
        <v>Clark</v>
      </c>
      <c r="N205" s="1" t="str">
        <v>Female</v>
      </c>
      <c r="O205" s="1">
        <v>706</v>
      </c>
      <c r="P205" s="2"/>
      <c r="Q205" s="1"/>
      <c r="R205" s="1"/>
      <c r="S205" s="3"/>
      <c r="T205" s="1"/>
      <c r="U205" s="1"/>
      <c r="V205" s="1"/>
      <c r="W205" s="1"/>
    </row>
    <row r="206" spans="3:23">
      <c r="C206" t="str">
        <v>PR27285</v>
      </c>
      <c r="D206" t="str">
        <v>Michael</v>
      </c>
      <c r="E206" t="str">
        <v>Phillips</v>
      </c>
      <c r="F206" t="str">
        <v>Legal</v>
      </c>
      <c r="G206">
        <v>157</v>
      </c>
      <c r="K206" s="1" t="str">
        <v>PR66051</v>
      </c>
      <c r="L206" s="1" t="str">
        <v>Torrance</v>
      </c>
      <c r="M206" s="1" t="str">
        <v>Miller</v>
      </c>
      <c r="N206" s="1" t="str">
        <v>Female</v>
      </c>
      <c r="O206" s="1">
        <v>869</v>
      </c>
      <c r="P206" s="2"/>
      <c r="Q206" s="1"/>
      <c r="R206" s="1"/>
      <c r="S206" s="3"/>
      <c r="T206" s="1"/>
      <c r="U206" s="1"/>
      <c r="V206" s="1"/>
      <c r="W206" s="1"/>
    </row>
    <row r="207" spans="3:23">
      <c r="C207" t="str">
        <v>PR43803</v>
      </c>
      <c r="D207" t="str">
        <v>Julia</v>
      </c>
      <c r="E207" t="str">
        <v>Taylor</v>
      </c>
      <c r="F207" t="str">
        <v>Accounting</v>
      </c>
      <c r="G207">
        <v>113</v>
      </c>
      <c r="K207" s="1" t="str">
        <v>PR30859</v>
      </c>
      <c r="L207" s="1" t="str">
        <v>Sarah</v>
      </c>
      <c r="M207" s="1" t="str">
        <v>Phillips</v>
      </c>
      <c r="N207" s="1" t="str">
        <v>Female</v>
      </c>
      <c r="O207" s="1">
        <v>826</v>
      </c>
      <c r="P207" s="2"/>
      <c r="Q207" s="1"/>
      <c r="R207" s="1"/>
      <c r="S207" s="3"/>
      <c r="T207" s="1"/>
      <c r="U207" s="1"/>
      <c r="V207" s="1"/>
      <c r="W207" s="1"/>
    </row>
    <row r="208" spans="3:23">
      <c r="C208" t="str">
        <v>PR43717</v>
      </c>
      <c r="D208" t="str">
        <v>Lothar</v>
      </c>
      <c r="E208" t="str">
        <v>Taylor</v>
      </c>
      <c r="F208" t="str">
        <v>Human Resources</v>
      </c>
      <c r="G208">
        <v>168</v>
      </c>
      <c r="K208" s="1" t="str">
        <v>PR10185</v>
      </c>
      <c r="L208" s="1" t="str">
        <v>Torrance</v>
      </c>
      <c r="M208" s="1" t="str">
        <v>Anderson</v>
      </c>
      <c r="N208" s="1" t="str">
        <v>Female</v>
      </c>
      <c r="O208" s="1">
        <v>693</v>
      </c>
      <c r="P208" s="2"/>
      <c r="Q208" s="1"/>
      <c r="R208" s="1"/>
      <c r="S208" s="3"/>
      <c r="T208" s="1"/>
      <c r="U208" s="1"/>
      <c r="V208" s="1"/>
      <c r="W208" s="1"/>
    </row>
    <row r="209" spans="3:23">
      <c r="C209" t="str">
        <v>PR38157</v>
      </c>
      <c r="D209" t="str">
        <v>Helmut</v>
      </c>
      <c r="E209" t="str">
        <v>Hall</v>
      </c>
      <c r="F209" t="str">
        <v>Product Management</v>
      </c>
      <c r="G209">
        <v>122</v>
      </c>
      <c r="K209" s="1" t="str">
        <v>PR40888</v>
      </c>
      <c r="L209" s="1" t="str">
        <v>Gerhard</v>
      </c>
      <c r="M209" s="1" t="str">
        <v>Shipsey</v>
      </c>
      <c r="N209" s="1" t="str">
        <v>Male</v>
      </c>
      <c r="O209" s="1">
        <v>969</v>
      </c>
      <c r="P209" s="2"/>
      <c r="Q209" s="1"/>
      <c r="R209" s="1"/>
      <c r="S209" s="3"/>
      <c r="T209" s="1"/>
      <c r="U209" s="1"/>
      <c r="V209" s="1"/>
      <c r="W209" s="1"/>
    </row>
    <row r="210" spans="3:23">
      <c r="C210" t="str">
        <v>PR95290</v>
      </c>
      <c r="D210" t="str">
        <v>Beryl</v>
      </c>
      <c r="E210" t="str">
        <v>Taylor</v>
      </c>
      <c r="F210" t="str">
        <v>Human Resources</v>
      </c>
      <c r="G210">
        <v>158</v>
      </c>
      <c r="K210" s="1" t="str">
        <v>PR71574</v>
      </c>
      <c r="L210" s="1" t="str">
        <v>Anna</v>
      </c>
      <c r="M210" s="1" t="str">
        <v>Perez</v>
      </c>
      <c r="N210" s="1" t="str">
        <v>Male</v>
      </c>
      <c r="O210" s="1">
        <v>995</v>
      </c>
      <c r="P210" s="2"/>
      <c r="Q210" s="1"/>
      <c r="R210" s="1"/>
      <c r="S210" s="3"/>
      <c r="T210" s="1"/>
      <c r="U210" s="1"/>
      <c r="V210" s="1"/>
      <c r="W210" s="1"/>
    </row>
    <row r="211" spans="3:23">
      <c r="C211" t="str">
        <v>PR89873</v>
      </c>
      <c r="D211" t="str">
        <v>Nicole</v>
      </c>
      <c r="E211" t="str">
        <v>Young</v>
      </c>
      <c r="F211" t="str">
        <v>Operations</v>
      </c>
      <c r="G211">
        <v>118</v>
      </c>
      <c r="K211" s="1" t="str">
        <v>PR45447</v>
      </c>
      <c r="L211" s="1" t="str">
        <v>Andreas</v>
      </c>
      <c r="M211" s="1" t="str">
        <v>Walker</v>
      </c>
      <c r="N211" s="1" t="str">
        <v>Female</v>
      </c>
      <c r="O211" s="1">
        <v>505</v>
      </c>
      <c r="P211" s="2"/>
      <c r="Q211" s="1"/>
      <c r="R211" s="1"/>
      <c r="S211" s="3"/>
      <c r="T211" s="1"/>
      <c r="U211" s="1"/>
      <c r="V211" s="1"/>
      <c r="W211" s="1"/>
    </row>
    <row r="212" spans="3:23">
      <c r="C212" t="str">
        <v>PR36806</v>
      </c>
      <c r="D212" t="str">
        <v>Julia</v>
      </c>
      <c r="E212" t="str">
        <v>Brown</v>
      </c>
      <c r="F212" t="str">
        <v>Research and Development</v>
      </c>
      <c r="G212">
        <v>133</v>
      </c>
      <c r="K212" s="1" t="str">
        <v>PR25099</v>
      </c>
      <c r="L212" s="1" t="str">
        <v>Lothar</v>
      </c>
      <c r="M212" s="1" t="str">
        <v>Phillips</v>
      </c>
      <c r="N212" s="1" t="str">
        <v>Male</v>
      </c>
      <c r="O212" s="1">
        <v>898</v>
      </c>
      <c r="P212" s="2"/>
      <c r="Q212" s="1"/>
      <c r="R212" s="1"/>
      <c r="S212" s="3"/>
      <c r="T212" s="1"/>
      <c r="U212" s="1"/>
      <c r="V212" s="1"/>
      <c r="W212" s="1"/>
    </row>
    <row r="213" spans="3:23">
      <c r="C213" t="str">
        <v>PR91163</v>
      </c>
      <c r="D213" t="str">
        <v>Renate</v>
      </c>
      <c r="E213" t="str">
        <v>Thomas</v>
      </c>
      <c r="F213" t="str">
        <v>Training</v>
      </c>
      <c r="G213">
        <v>112</v>
      </c>
      <c r="K213" s="1" t="str">
        <v>PR73573</v>
      </c>
      <c r="L213" s="1" t="str">
        <v>Konrad</v>
      </c>
      <c r="M213" s="1" t="str">
        <v>Martinez</v>
      </c>
      <c r="N213" s="1" t="str">
        <v>Female</v>
      </c>
      <c r="O213" s="1">
        <v>943</v>
      </c>
      <c r="P213" s="2"/>
      <c r="Q213" s="1"/>
      <c r="R213" s="1"/>
      <c r="S213" s="3"/>
      <c r="T213" s="1"/>
      <c r="U213" s="1"/>
      <c r="V213" s="1"/>
      <c r="W213" s="1"/>
    </row>
    <row r="214" spans="3:23">
      <c r="C214" t="str">
        <v>PR42912</v>
      </c>
      <c r="D214" t="str">
        <v>Gerhard</v>
      </c>
      <c r="E214" t="str">
        <v>Veeravasarapu</v>
      </c>
      <c r="F214" t="str">
        <v>Sales</v>
      </c>
      <c r="G214">
        <v>175</v>
      </c>
      <c r="K214" s="1" t="str">
        <v>PR83743</v>
      </c>
      <c r="L214" s="1" t="str">
        <v>Waltraud</v>
      </c>
      <c r="M214" s="1" t="str">
        <v>Green</v>
      </c>
      <c r="N214" s="1" t="str">
        <v>Female</v>
      </c>
      <c r="O214" s="1">
        <v>826</v>
      </c>
      <c r="P214" s="2"/>
      <c r="Q214" s="1"/>
      <c r="R214" s="1"/>
      <c r="S214" s="3"/>
      <c r="T214" s="1"/>
      <c r="U214" s="1"/>
      <c r="V214" s="1"/>
      <c r="W214" s="1"/>
    </row>
    <row r="215" spans="3:23">
      <c r="C215" t="str">
        <v>PR41114</v>
      </c>
      <c r="D215" t="str">
        <v>Beryl</v>
      </c>
      <c r="E215" t="str">
        <v>Garcia</v>
      </c>
      <c r="F215" t="str">
        <v>Business Development</v>
      </c>
      <c r="G215">
        <v>159</v>
      </c>
      <c r="K215" s="1" t="str">
        <v>PR40572</v>
      </c>
      <c r="L215" s="1" t="str">
        <v>Dieter</v>
      </c>
      <c r="M215" s="1" t="str">
        <v>Damarsingh</v>
      </c>
      <c r="N215" s="1" t="str">
        <v>Female</v>
      </c>
      <c r="O215" s="1">
        <v>606</v>
      </c>
      <c r="P215" s="2"/>
      <c r="Q215" s="1"/>
      <c r="R215" s="1"/>
      <c r="S215" s="3"/>
      <c r="T215" s="1"/>
      <c r="U215" s="1"/>
      <c r="V215" s="1"/>
      <c r="W215" s="1"/>
    </row>
    <row r="216" spans="3:23">
      <c r="C216" t="str">
        <v>PR93997</v>
      </c>
      <c r="D216" t="str">
        <v>Waltraud</v>
      </c>
      <c r="E216" t="str">
        <v>Collier</v>
      </c>
      <c r="F216" t="str">
        <v>Customer Service</v>
      </c>
      <c r="G216">
        <v>117</v>
      </c>
      <c r="K216" s="1" t="str">
        <v>PR61584</v>
      </c>
      <c r="L216" s="1" t="str">
        <v>Jürgen</v>
      </c>
      <c r="M216" s="1" t="str">
        <v>Veeravasarapu</v>
      </c>
      <c r="N216" s="1" t="str">
        <v>Male</v>
      </c>
      <c r="O216" s="1">
        <v>763</v>
      </c>
      <c r="P216" s="2"/>
      <c r="Q216" s="1"/>
      <c r="R216" s="1"/>
      <c r="S216" s="3"/>
      <c r="T216" s="1"/>
      <c r="U216" s="1"/>
      <c r="V216" s="1"/>
      <c r="W216" s="1"/>
    </row>
    <row r="217" spans="3:23">
      <c r="C217" t="str">
        <v>PR57427</v>
      </c>
      <c r="D217" t="str">
        <v>Ursula</v>
      </c>
      <c r="E217" t="str">
        <v>Carter</v>
      </c>
      <c r="F217" t="str">
        <v>Business Development</v>
      </c>
      <c r="G217">
        <v>144</v>
      </c>
      <c r="K217" s="1" t="str">
        <v>PR24187</v>
      </c>
      <c r="L217" s="1" t="str">
        <v>Peter</v>
      </c>
      <c r="M217" s="1" t="str">
        <v>Martinez</v>
      </c>
      <c r="N217" s="1" t="str">
        <v>Male</v>
      </c>
      <c r="O217" s="1">
        <v>606</v>
      </c>
      <c r="P217" s="2"/>
      <c r="Q217" s="1"/>
      <c r="R217" s="1"/>
      <c r="S217" s="3"/>
      <c r="T217" s="1"/>
      <c r="U217" s="1"/>
      <c r="V217" s="1"/>
      <c r="W217" s="1"/>
    </row>
    <row r="218" spans="3:23">
      <c r="C218" t="str">
        <v>PR26397</v>
      </c>
      <c r="D218" t="str">
        <v>Rosemarie</v>
      </c>
      <c r="E218" t="str">
        <v>Damarsingh</v>
      </c>
      <c r="F218" t="str">
        <v>IT</v>
      </c>
      <c r="G218">
        <v>114</v>
      </c>
      <c r="K218" s="1" t="str">
        <v>PR54578</v>
      </c>
      <c r="L218" s="1" t="str">
        <v>Monika</v>
      </c>
      <c r="M218" s="1" t="str">
        <v>Iles</v>
      </c>
      <c r="N218" s="1" t="str">
        <v>Male</v>
      </c>
      <c r="O218" s="1">
        <v>839</v>
      </c>
      <c r="P218" s="2"/>
      <c r="Q218" s="1"/>
      <c r="R218" s="1"/>
      <c r="S218" s="3"/>
      <c r="T218" s="1"/>
      <c r="U218" s="1"/>
      <c r="V218" s="1"/>
      <c r="W218" s="1"/>
    </row>
    <row r="219" spans="3:23">
      <c r="C219" t="str">
        <v>PR30859</v>
      </c>
      <c r="D219" t="str">
        <v>Sarah</v>
      </c>
      <c r="E219" t="str">
        <v>Phillips</v>
      </c>
      <c r="F219" t="str">
        <v>Product Management</v>
      </c>
      <c r="G219">
        <v>140</v>
      </c>
      <c r="K219" s="1" t="str">
        <v>PR42232</v>
      </c>
      <c r="L219" s="1" t="str">
        <v>Renate</v>
      </c>
      <c r="M219" s="1" t="str">
        <v>Flores</v>
      </c>
      <c r="N219" s="1" t="str">
        <v>Male</v>
      </c>
      <c r="O219" s="1">
        <v>554</v>
      </c>
      <c r="P219" s="2"/>
      <c r="Q219" s="1"/>
      <c r="R219" s="1"/>
      <c r="S219" s="3"/>
      <c r="T219" s="1"/>
      <c r="U219" s="1"/>
      <c r="V219" s="1"/>
      <c r="W219" s="1"/>
    </row>
    <row r="220" spans="3:23">
      <c r="C220" t="str">
        <v>PR10185</v>
      </c>
      <c r="D220" t="str">
        <v>Torrance</v>
      </c>
      <c r="E220" t="str">
        <v>Anderson</v>
      </c>
      <c r="F220" t="str">
        <v>Data Analytics</v>
      </c>
      <c r="G220">
        <v>146</v>
      </c>
      <c r="K220" s="1"/>
      <c r="L220" s="1"/>
      <c r="M220" s="1"/>
      <c r="N220" s="1"/>
      <c r="O220" s="1"/>
      <c r="P220" s="2"/>
      <c r="Q220" s="1"/>
      <c r="R220" s="1"/>
      <c r="S220" s="3"/>
      <c r="T220" s="1"/>
      <c r="U220" s="1"/>
      <c r="V220" s="1"/>
      <c r="W220" s="1"/>
    </row>
    <row r="221" spans="3:23">
      <c r="C221" t="str">
        <v>PR40888</v>
      </c>
      <c r="D221" t="str">
        <v>Gerhard</v>
      </c>
      <c r="E221" t="str">
        <v>Shipsey</v>
      </c>
      <c r="F221" t="str">
        <v>Sales</v>
      </c>
      <c r="G221">
        <v>163</v>
      </c>
      <c r="K221" s="1"/>
      <c r="L221" s="1"/>
      <c r="M221" s="1"/>
      <c r="N221" s="1"/>
      <c r="O221" s="1"/>
      <c r="P221" s="2"/>
      <c r="Q221" s="1"/>
      <c r="R221" s="1"/>
      <c r="S221" s="3"/>
      <c r="T221" s="1"/>
      <c r="U221" s="1"/>
      <c r="V221" s="1"/>
      <c r="W221" s="1"/>
    </row>
    <row r="222" spans="3:23">
      <c r="C222" t="str">
        <v>PR45447</v>
      </c>
      <c r="D222" t="str">
        <v>Andreas</v>
      </c>
      <c r="E222" t="str">
        <v>Walker</v>
      </c>
      <c r="F222" t="str">
        <v>Engineering</v>
      </c>
      <c r="G222">
        <v>136</v>
      </c>
      <c r="K222" s="1"/>
      <c r="L222" s="1"/>
      <c r="M222" s="1"/>
      <c r="N222" s="1"/>
      <c r="O222" s="1"/>
      <c r="P222" s="2"/>
      <c r="Q222" s="1"/>
      <c r="R222" s="1"/>
      <c r="S222" s="3"/>
      <c r="T222" s="1"/>
      <c r="U222" s="1"/>
      <c r="V222" s="1"/>
      <c r="W222" s="1"/>
    </row>
    <row r="223" spans="3:23">
      <c r="C223" t="str">
        <v>PR36193</v>
      </c>
      <c r="D223" t="str">
        <v>Hannelore</v>
      </c>
      <c r="E223" t="str">
        <v>Thomas</v>
      </c>
      <c r="F223" t="str">
        <v>Research and Development</v>
      </c>
      <c r="G223">
        <v>135</v>
      </c>
      <c r="K223" s="1"/>
      <c r="L223" s="1"/>
      <c r="M223" s="1"/>
      <c r="N223" s="1"/>
      <c r="O223" s="1"/>
      <c r="P223" s="2"/>
      <c r="Q223" s="1"/>
      <c r="R223" s="1"/>
      <c r="S223" s="3"/>
      <c r="T223" s="1"/>
      <c r="U223" s="1"/>
      <c r="V223" s="1"/>
      <c r="W223" s="1"/>
    </row>
    <row r="224" spans="3:23">
      <c r="C224" t="str">
        <v>PR29636</v>
      </c>
      <c r="D224" t="str">
        <v>Emma</v>
      </c>
      <c r="E224" t="str">
        <v>Taylor</v>
      </c>
      <c r="F224" t="str">
        <v>Legal</v>
      </c>
      <c r="G224">
        <v>146</v>
      </c>
      <c r="K224" s="1"/>
      <c r="L224" s="1"/>
      <c r="M224" s="1"/>
      <c r="N224" s="1"/>
      <c r="O224" s="1"/>
      <c r="P224" s="2"/>
      <c r="Q224" s="1"/>
      <c r="R224" s="1"/>
      <c r="S224" s="3"/>
      <c r="T224" s="1"/>
      <c r="U224" s="1"/>
      <c r="V224" s="1"/>
      <c r="W224" s="1"/>
    </row>
    <row r="225" spans="3:23">
      <c r="C225" t="str">
        <v>PR73573</v>
      </c>
      <c r="D225" t="str">
        <v>Konrad</v>
      </c>
      <c r="E225" t="str">
        <v>Martinez</v>
      </c>
      <c r="F225" t="str">
        <v>Training</v>
      </c>
      <c r="G225">
        <v>165</v>
      </c>
      <c r="K225" s="1"/>
      <c r="L225" s="1"/>
      <c r="M225" s="1"/>
      <c r="N225" s="1"/>
      <c r="O225" s="1"/>
      <c r="P225" s="2"/>
      <c r="Q225" s="1"/>
      <c r="R225" s="1"/>
      <c r="S225" s="3"/>
      <c r="T225" s="1"/>
      <c r="U225" s="1"/>
      <c r="V225" s="1"/>
      <c r="W225" s="1"/>
    </row>
    <row r="226" spans="3:23">
      <c r="C226" t="str">
        <v>PR83743</v>
      </c>
      <c r="D226" t="str">
        <v>Waltraud</v>
      </c>
      <c r="E226" t="str">
        <v>Green</v>
      </c>
      <c r="F226" t="str">
        <v>Customer Service</v>
      </c>
      <c r="G226">
        <v>177</v>
      </c>
      <c r="K226" s="1"/>
      <c r="L226" s="1"/>
      <c r="M226" s="1"/>
      <c r="N226" s="1"/>
      <c r="O226" s="1"/>
      <c r="P226" s="2"/>
      <c r="Q226" s="1"/>
      <c r="R226" s="1"/>
      <c r="S226" s="3"/>
      <c r="T226" s="1"/>
      <c r="U226" s="1"/>
      <c r="V226" s="1"/>
      <c r="W226" s="1"/>
    </row>
    <row r="227" spans="3:23">
      <c r="C227" t="str">
        <v>PR10787</v>
      </c>
      <c r="D227" t="str">
        <v>Christina</v>
      </c>
      <c r="E227" t="str">
        <v>Phillips</v>
      </c>
      <c r="F227" t="str">
        <v>Research and Development</v>
      </c>
      <c r="G227">
        <v>176</v>
      </c>
      <c r="K227" s="1"/>
      <c r="L227" s="1"/>
      <c r="M227" s="1"/>
      <c r="N227" s="1"/>
      <c r="O227" s="1"/>
      <c r="P227" s="2"/>
      <c r="Q227" s="1"/>
      <c r="R227" s="1"/>
      <c r="S227" s="3"/>
      <c r="T227" s="1"/>
      <c r="U227" s="1"/>
      <c r="V227" s="1"/>
      <c r="W227" s="1"/>
    </row>
    <row r="228" spans="3:23">
      <c r="C228" t="str">
        <v>PR24187</v>
      </c>
      <c r="D228" t="str">
        <v>Peter</v>
      </c>
      <c r="E228" t="str">
        <v>Martinez</v>
      </c>
      <c r="F228" t="str">
        <v>Operations</v>
      </c>
      <c r="G228">
        <v>123</v>
      </c>
      <c r="K228" s="1"/>
      <c r="L228" s="1"/>
      <c r="M228" s="1"/>
      <c r="N228" s="1"/>
      <c r="O228" s="1"/>
      <c r="P228" s="2"/>
      <c r="Q228" s="1"/>
      <c r="R228" s="1"/>
      <c r="S228" s="3"/>
      <c r="T228" s="1"/>
      <c r="U228" s="1"/>
      <c r="V228" s="1"/>
      <c r="W228" s="1"/>
    </row>
    <row r="229" spans="3:23">
      <c r="C229" t="str">
        <v>PR37608</v>
      </c>
      <c r="D229" t="str">
        <v>Klaus</v>
      </c>
      <c r="E229" t="str">
        <v>Turner</v>
      </c>
      <c r="F229" t="str">
        <v>Operations</v>
      </c>
      <c r="G229">
        <v>155</v>
      </c>
      <c r="K229" s="1"/>
      <c r="L229" s="1"/>
      <c r="M229" s="1"/>
      <c r="N229" s="1"/>
      <c r="O229" s="1"/>
      <c r="P229" s="2"/>
      <c r="Q229" s="1"/>
      <c r="R229" s="1"/>
      <c r="S229" s="3"/>
      <c r="T229" s="1"/>
      <c r="U229" s="1"/>
      <c r="V229" s="1"/>
      <c r="W229" s="1"/>
    </row>
    <row r="230" spans="3:23">
      <c r="C230" t="str">
        <v>PR51276</v>
      </c>
      <c r="D230" t="str">
        <v>Horst</v>
      </c>
      <c r="E230" t="str">
        <v>Phillips</v>
      </c>
      <c r="F230" t="str">
        <v>IT</v>
      </c>
      <c r="G230">
        <v>128</v>
      </c>
      <c r="K230" s="1"/>
      <c r="L230" s="1"/>
      <c r="M230" s="1"/>
      <c r="N230" s="1"/>
      <c r="O230" s="1"/>
      <c r="P230" s="2"/>
      <c r="Q230" s="1"/>
      <c r="R230" s="1"/>
      <c r="S230" s="3"/>
      <c r="T230" s="1"/>
      <c r="U230" s="1"/>
      <c r="V230" s="1"/>
      <c r="W230" s="1"/>
    </row>
    <row r="231" spans="3:23">
      <c r="K231" s="1"/>
      <c r="L231" s="1"/>
      <c r="M231" s="1"/>
      <c r="N231" s="1"/>
      <c r="O231" s="1"/>
      <c r="P231" s="2"/>
      <c r="Q231" s="1"/>
      <c r="R231" s="1"/>
      <c r="S231" s="3"/>
      <c r="T231" s="1"/>
      <c r="U231" s="1"/>
      <c r="V231" s="1"/>
      <c r="W231" s="1"/>
    </row>
    <row r="232" spans="3:23">
      <c r="K232" s="1"/>
      <c r="L232" s="1"/>
      <c r="M232" s="1"/>
      <c r="N232" s="1"/>
      <c r="O232" s="1"/>
      <c r="P232" s="2"/>
      <c r="Q232" s="1"/>
      <c r="R232" s="1"/>
      <c r="S232" s="3"/>
      <c r="T232" s="1"/>
      <c r="U232" s="1"/>
      <c r="V232" s="1"/>
      <c r="W232" s="1"/>
    </row>
    <row r="233" spans="3:23">
      <c r="K233" s="1"/>
      <c r="L233" s="1"/>
      <c r="M233" s="1"/>
      <c r="N233" s="1"/>
      <c r="O233" s="1"/>
      <c r="P233" s="2"/>
      <c r="Q233" s="1"/>
      <c r="R233" s="1"/>
      <c r="S233" s="3"/>
      <c r="T233" s="1"/>
      <c r="U233" s="1"/>
      <c r="V233" s="1"/>
      <c r="W233" s="1"/>
    </row>
    <row r="234" spans="3:23">
      <c r="K234" s="1"/>
      <c r="L234" s="1"/>
      <c r="M234" s="1"/>
      <c r="N234" s="1"/>
      <c r="O234" s="1"/>
      <c r="P234" s="2"/>
      <c r="Q234" s="1"/>
      <c r="R234" s="1"/>
      <c r="S234" s="3"/>
      <c r="T234" s="1"/>
      <c r="U234" s="1"/>
      <c r="V234" s="1"/>
      <c r="W234" s="1"/>
    </row>
    <row r="235" spans="3:23">
      <c r="K235" s="1"/>
      <c r="L235" s="1"/>
      <c r="M235" s="1"/>
      <c r="N235" s="1"/>
      <c r="O235" s="1"/>
      <c r="P235" s="2"/>
      <c r="Q235" s="1"/>
      <c r="R235" s="1"/>
      <c r="S235" s="3"/>
      <c r="T235" s="1"/>
      <c r="U235" s="1"/>
      <c r="V235" s="1"/>
      <c r="W235" s="1"/>
    </row>
    <row r="236" spans="3:23">
      <c r="K236" s="1"/>
      <c r="L236" s="1"/>
      <c r="M236" s="1"/>
      <c r="N236" s="1"/>
      <c r="O236" s="1"/>
      <c r="P236" s="2"/>
      <c r="Q236" s="1"/>
      <c r="R236" s="1"/>
      <c r="S236" s="3"/>
      <c r="T236" s="1"/>
      <c r="U236" s="1"/>
      <c r="V236" s="1"/>
      <c r="W236" s="1"/>
    </row>
    <row r="237" spans="3:23">
      <c r="K237" s="1"/>
      <c r="L237" s="1"/>
      <c r="M237" s="1"/>
      <c r="N237" s="1"/>
      <c r="O237" s="1"/>
      <c r="P237" s="2"/>
      <c r="Q237" s="1"/>
      <c r="R237" s="1"/>
      <c r="S237" s="3"/>
      <c r="T237" s="1"/>
      <c r="U237" s="1"/>
      <c r="V237" s="1"/>
      <c r="W237" s="1"/>
    </row>
    <row r="238" spans="3:23">
      <c r="K238" s="1"/>
      <c r="L238" s="1"/>
      <c r="M238" s="1"/>
      <c r="N238" s="1"/>
      <c r="O238" s="1"/>
      <c r="P238" s="2"/>
      <c r="Q238" s="1"/>
      <c r="R238" s="1"/>
      <c r="S238" s="3"/>
      <c r="T238" s="1"/>
      <c r="U238" s="1"/>
      <c r="V238" s="1"/>
      <c r="W238" s="1"/>
    </row>
    <row r="239" spans="3:23">
      <c r="K239" s="1"/>
      <c r="L239" s="1"/>
      <c r="M239" s="1"/>
      <c r="N239" s="1"/>
      <c r="O239" s="1"/>
      <c r="P239" s="2"/>
      <c r="Q239" s="1"/>
      <c r="R239" s="1"/>
      <c r="S239" s="3"/>
      <c r="T239" s="1"/>
      <c r="U239" s="1"/>
      <c r="V239" s="1"/>
      <c r="W239" s="1"/>
    </row>
    <row r="240" spans="3:23">
      <c r="K240" s="1"/>
      <c r="L240" s="1"/>
      <c r="M240" s="1"/>
      <c r="N240" s="1"/>
      <c r="O240" s="1"/>
      <c r="P240" s="2"/>
      <c r="Q240" s="1"/>
      <c r="R240" s="1"/>
      <c r="S240" s="3"/>
      <c r="T240" s="1"/>
      <c r="U240" s="1"/>
      <c r="V240" s="1"/>
      <c r="W240" s="1"/>
    </row>
    <row r="241" spans="11:23">
      <c r="K241" s="1"/>
      <c r="L241" s="1"/>
      <c r="M241" s="1"/>
      <c r="N241" s="1"/>
      <c r="O241" s="1"/>
      <c r="P241" s="2"/>
      <c r="Q241" s="1"/>
      <c r="R241" s="1"/>
      <c r="S241" s="3"/>
      <c r="T241" s="1"/>
      <c r="U241" s="1"/>
      <c r="V241" s="1"/>
      <c r="W241" s="1"/>
    </row>
    <row r="242" spans="11:23">
      <c r="K242" s="1"/>
      <c r="L242" s="1"/>
      <c r="M242" s="1"/>
      <c r="N242" s="1"/>
      <c r="O242" s="1"/>
      <c r="P242" s="2"/>
      <c r="Q242" s="1"/>
      <c r="R242" s="1"/>
      <c r="S242" s="3"/>
      <c r="T242" s="1"/>
      <c r="U242" s="1"/>
      <c r="V242" s="1"/>
      <c r="W242" s="1"/>
    </row>
    <row r="243" spans="11:23">
      <c r="K243" s="1"/>
      <c r="L243" s="1"/>
      <c r="M243" s="1"/>
      <c r="N243" s="1"/>
      <c r="O243" s="1"/>
      <c r="P243" s="2"/>
      <c r="Q243" s="1"/>
      <c r="R243" s="1"/>
      <c r="S243" s="3"/>
      <c r="T243" s="1"/>
      <c r="U243" s="1"/>
      <c r="V243" s="1"/>
      <c r="W243" s="1"/>
    </row>
    <row r="244" spans="11:23">
      <c r="K244" s="1"/>
      <c r="L244" s="1"/>
      <c r="M244" s="1"/>
      <c r="N244" s="1"/>
      <c r="O244" s="1"/>
      <c r="P244" s="2"/>
      <c r="Q244" s="1"/>
      <c r="R244" s="1"/>
      <c r="S244" s="3"/>
      <c r="T244" s="1"/>
      <c r="U244" s="1"/>
      <c r="V244" s="1"/>
      <c r="W244" s="1"/>
    </row>
    <row r="245" spans="11:23">
      <c r="K245" s="1"/>
      <c r="L245" s="1"/>
      <c r="M245" s="1"/>
      <c r="N245" s="1"/>
      <c r="O245" s="1"/>
      <c r="P245" s="2"/>
      <c r="Q245" s="1"/>
      <c r="R245" s="1"/>
      <c r="S245" s="3"/>
      <c r="T245" s="1"/>
      <c r="U245" s="1"/>
      <c r="V245" s="1"/>
      <c r="W245" s="1"/>
    </row>
    <row r="246" spans="11:23">
      <c r="K246" s="1"/>
      <c r="L246" s="1"/>
      <c r="M246" s="1"/>
      <c r="N246" s="1"/>
      <c r="O246" s="1"/>
      <c r="P246" s="2"/>
      <c r="Q246" s="1"/>
      <c r="R246" s="1"/>
      <c r="S246" s="3"/>
      <c r="T246" s="1"/>
      <c r="U246" s="1"/>
      <c r="V246" s="1"/>
      <c r="W246" s="1"/>
    </row>
    <row r="247" spans="11:23">
      <c r="K247" s="1"/>
      <c r="L247" s="1"/>
      <c r="M247" s="1"/>
      <c r="N247" s="1"/>
      <c r="O247" s="1"/>
      <c r="P247" s="2"/>
      <c r="Q247" s="1"/>
      <c r="R247" s="1"/>
      <c r="S247" s="3"/>
      <c r="T247" s="1"/>
      <c r="U247" s="1"/>
      <c r="V247" s="1"/>
      <c r="W247" s="1"/>
    </row>
    <row r="248" spans="11:23">
      <c r="K248" s="1"/>
      <c r="L248" s="1"/>
      <c r="M248" s="1"/>
      <c r="N248" s="1"/>
      <c r="O248" s="1"/>
      <c r="P248" s="2"/>
      <c r="Q248" s="1"/>
      <c r="R248" s="1"/>
      <c r="S248" s="3"/>
      <c r="T248" s="1"/>
      <c r="U248" s="1"/>
      <c r="V248" s="1"/>
      <c r="W248" s="1"/>
    </row>
    <row r="249" spans="11:23">
      <c r="K249" s="1"/>
      <c r="L249" s="1"/>
      <c r="M249" s="1"/>
      <c r="N249" s="1"/>
      <c r="O249" s="1"/>
      <c r="P249" s="2"/>
      <c r="Q249" s="1"/>
      <c r="R249" s="1"/>
      <c r="S249" s="3"/>
      <c r="T249" s="1"/>
      <c r="U249" s="1"/>
      <c r="V249" s="1"/>
      <c r="W249" s="1"/>
    </row>
    <row r="250" spans="11:23">
      <c r="K250" s="1"/>
      <c r="L250" s="1"/>
      <c r="M250" s="1"/>
      <c r="N250" s="1"/>
      <c r="O250" s="1"/>
      <c r="P250" s="2"/>
      <c r="Q250" s="1"/>
      <c r="R250" s="1"/>
      <c r="S250" s="3"/>
      <c r="T250" s="1"/>
      <c r="U250" s="1"/>
      <c r="V250" s="1"/>
      <c r="W250" s="1"/>
    </row>
    <row r="251" spans="11:23">
      <c r="K251" s="1"/>
      <c r="L251" s="1"/>
      <c r="M251" s="1"/>
      <c r="N251" s="1"/>
      <c r="O251" s="1"/>
      <c r="P251" s="2"/>
      <c r="Q251" s="1"/>
      <c r="R251" s="1"/>
      <c r="S251" s="3"/>
      <c r="T251" s="1"/>
      <c r="U251" s="1"/>
      <c r="V251" s="1"/>
      <c r="W251" s="1"/>
    </row>
    <row r="252" spans="11:23">
      <c r="K252" s="1"/>
      <c r="L252" s="1"/>
      <c r="M252" s="1"/>
      <c r="N252" s="1"/>
      <c r="O252" s="1"/>
      <c r="P252" s="2"/>
      <c r="Q252" s="1"/>
      <c r="R252" s="1"/>
      <c r="S252" s="3"/>
      <c r="T252" s="1"/>
      <c r="U252" s="1"/>
      <c r="V252" s="1"/>
      <c r="W252" s="1"/>
    </row>
    <row r="253" spans="11:23">
      <c r="K253" s="1"/>
      <c r="L253" s="1"/>
      <c r="M253" s="1"/>
      <c r="N253" s="1"/>
      <c r="O253" s="1"/>
      <c r="P253" s="2"/>
      <c r="Q253" s="1"/>
      <c r="R253" s="1"/>
      <c r="S253" s="3"/>
      <c r="T253" s="1"/>
      <c r="U253" s="1"/>
      <c r="V253" s="1"/>
      <c r="W253" s="1"/>
    </row>
    <row r="254" spans="11:23">
      <c r="K254" s="1"/>
      <c r="L254" s="1"/>
      <c r="M254" s="1"/>
      <c r="N254" s="1"/>
      <c r="O254" s="1"/>
      <c r="P254" s="2"/>
      <c r="Q254" s="1"/>
      <c r="R254" s="1"/>
      <c r="S254" s="3"/>
      <c r="T254" s="1"/>
      <c r="U254" s="1"/>
      <c r="V254" s="1"/>
      <c r="W254" s="1"/>
    </row>
    <row r="255" spans="11:23">
      <c r="K255" s="1"/>
      <c r="L255" s="1"/>
      <c r="M255" s="1"/>
      <c r="N255" s="1"/>
      <c r="O255" s="1"/>
      <c r="P255" s="2"/>
      <c r="Q255" s="1"/>
      <c r="R255" s="1"/>
      <c r="S255" s="3"/>
      <c r="T255" s="1"/>
      <c r="U255" s="1"/>
      <c r="V255" s="1"/>
      <c r="W255" s="1"/>
    </row>
    <row r="256" spans="11:23">
      <c r="K256" s="1"/>
      <c r="L256" s="1"/>
      <c r="M256" s="1"/>
      <c r="N256" s="1"/>
      <c r="O256" s="1"/>
      <c r="P256" s="2"/>
      <c r="Q256" s="1"/>
      <c r="R256" s="1"/>
      <c r="S256" s="3"/>
      <c r="T256" s="1"/>
      <c r="U256" s="1"/>
      <c r="V256" s="1"/>
      <c r="W256" s="1"/>
    </row>
    <row r="257" spans="11:23">
      <c r="K257" s="1"/>
      <c r="L257" s="1"/>
      <c r="M257" s="1"/>
      <c r="N257" s="1"/>
      <c r="O257" s="1"/>
      <c r="P257" s="2"/>
      <c r="Q257" s="1"/>
      <c r="R257" s="1"/>
      <c r="S257" s="3"/>
      <c r="T257" s="1"/>
      <c r="U257" s="1"/>
      <c r="V257" s="1"/>
      <c r="W257" s="1"/>
    </row>
    <row r="258" spans="11:23">
      <c r="K258" s="1"/>
      <c r="L258" s="1"/>
      <c r="M258" s="1"/>
      <c r="N258" s="1"/>
      <c r="O258" s="1"/>
      <c r="P258" s="2"/>
      <c r="Q258" s="1"/>
      <c r="R258" s="1"/>
      <c r="S258" s="3"/>
      <c r="T258" s="1"/>
      <c r="U258" s="1"/>
      <c r="V258" s="1"/>
      <c r="W258" s="1"/>
    </row>
    <row r="259" spans="11:23">
      <c r="K259" s="1"/>
      <c r="L259" s="1"/>
      <c r="M259" s="1"/>
      <c r="N259" s="1"/>
      <c r="O259" s="1"/>
      <c r="P259" s="2"/>
      <c r="Q259" s="1"/>
      <c r="R259" s="1"/>
      <c r="S259" s="3"/>
      <c r="T259" s="1"/>
      <c r="U259" s="1"/>
      <c r="V259" s="1"/>
      <c r="W259" s="1"/>
    </row>
    <row r="260" spans="11:23">
      <c r="K260" s="1"/>
      <c r="L260" s="1"/>
      <c r="M260" s="1"/>
      <c r="N260" s="1"/>
      <c r="O260" s="1"/>
      <c r="P260" s="2"/>
      <c r="Q260" s="1"/>
      <c r="R260" s="1"/>
      <c r="S260" s="3"/>
      <c r="T260" s="1"/>
      <c r="U260" s="1"/>
      <c r="V260" s="1"/>
      <c r="W260" s="1"/>
    </row>
    <row r="261" spans="11:23">
      <c r="K261" s="1"/>
      <c r="L261" s="1"/>
      <c r="M261" s="1"/>
      <c r="N261" s="1"/>
      <c r="O261" s="1"/>
      <c r="P261" s="2"/>
      <c r="Q261" s="1"/>
      <c r="R261" s="1"/>
      <c r="S261" s="3"/>
      <c r="T261" s="1"/>
      <c r="U261" s="1"/>
      <c r="V261" s="1"/>
      <c r="W261" s="1"/>
    </row>
    <row r="262" spans="11:23">
      <c r="K262" s="1"/>
      <c r="L262" s="1"/>
      <c r="M262" s="1"/>
      <c r="N262" s="1"/>
      <c r="O262" s="1"/>
      <c r="P262" s="2"/>
      <c r="Q262" s="1"/>
      <c r="R262" s="1"/>
      <c r="S262" s="3"/>
      <c r="T262" s="1"/>
      <c r="U262" s="1"/>
      <c r="V262" s="1"/>
      <c r="W262" s="1"/>
    </row>
    <row r="263" spans="11:23">
      <c r="K263" s="1"/>
      <c r="L263" s="1"/>
      <c r="M263" s="1"/>
      <c r="N263" s="1"/>
      <c r="O263" s="1"/>
      <c r="P263" s="2"/>
      <c r="Q263" s="1"/>
      <c r="R263" s="1"/>
      <c r="S263" s="3"/>
      <c r="T263" s="1"/>
      <c r="U263" s="1"/>
      <c r="V263" s="1"/>
      <c r="W263" s="1"/>
    </row>
    <row r="264" spans="11:23">
      <c r="K264" s="1"/>
      <c r="L264" s="1"/>
      <c r="M264" s="1"/>
      <c r="N264" s="1"/>
      <c r="O264" s="1"/>
      <c r="P264" s="2"/>
      <c r="Q264" s="1"/>
      <c r="R264" s="1"/>
      <c r="S264" s="3"/>
      <c r="T264" s="1"/>
      <c r="U264" s="1"/>
      <c r="V264" s="1"/>
      <c r="W264" s="1"/>
    </row>
    <row r="265" spans="11:23">
      <c r="K265" s="1"/>
      <c r="L265" s="1"/>
      <c r="M265" s="1"/>
      <c r="N265" s="1"/>
      <c r="O265" s="1"/>
      <c r="P265" s="2"/>
      <c r="Q265" s="1"/>
      <c r="R265" s="1"/>
      <c r="S265" s="3"/>
      <c r="T265" s="1"/>
      <c r="U265" s="1"/>
      <c r="V265" s="1"/>
      <c r="W265" s="1"/>
    </row>
    <row r="266" spans="11:23">
      <c r="K266" s="1"/>
      <c r="L266" s="1"/>
      <c r="M266" s="1"/>
      <c r="N266" s="1"/>
      <c r="O266" s="1"/>
      <c r="P266" s="2"/>
      <c r="Q266" s="1"/>
      <c r="R266" s="1"/>
      <c r="S266" s="3"/>
      <c r="T266" s="1"/>
      <c r="U266" s="1"/>
      <c r="V266" s="1"/>
      <c r="W266" s="1"/>
    </row>
    <row r="267" spans="11:23">
      <c r="K267" s="1"/>
      <c r="L267" s="1"/>
      <c r="M267" s="1"/>
      <c r="N267" s="1"/>
      <c r="O267" s="1"/>
      <c r="P267" s="2"/>
      <c r="Q267" s="1"/>
      <c r="R267" s="1"/>
      <c r="S267" s="3"/>
      <c r="T267" s="1"/>
      <c r="U267" s="1"/>
      <c r="V267" s="1"/>
      <c r="W267" s="1"/>
    </row>
    <row r="268" spans="11:23">
      <c r="K268" s="1"/>
      <c r="L268" s="1"/>
      <c r="M268" s="1"/>
      <c r="N268" s="1"/>
      <c r="O268" s="1"/>
      <c r="P268" s="2"/>
      <c r="Q268" s="1"/>
      <c r="R268" s="1"/>
      <c r="S268" s="3"/>
      <c r="T268" s="1"/>
      <c r="U268" s="1"/>
      <c r="V268" s="1"/>
      <c r="W268" s="1"/>
    </row>
    <row r="269" spans="11:23">
      <c r="K269" s="1"/>
      <c r="L269" s="1"/>
      <c r="M269" s="1"/>
      <c r="N269" s="1"/>
      <c r="O269" s="1"/>
      <c r="P269" s="2"/>
      <c r="Q269" s="1"/>
      <c r="R269" s="1"/>
      <c r="S269" s="3"/>
      <c r="T269" s="1"/>
      <c r="U269" s="1"/>
      <c r="V269" s="1"/>
      <c r="W269" s="1"/>
    </row>
    <row r="270" spans="11:23">
      <c r="K270" s="1"/>
      <c r="L270" s="1"/>
      <c r="M270" s="1"/>
      <c r="N270" s="1"/>
      <c r="O270" s="1"/>
      <c r="P270" s="2"/>
      <c r="Q270" s="1"/>
      <c r="R270" s="1"/>
      <c r="S270" s="3"/>
      <c r="T270" s="1"/>
      <c r="U270" s="1"/>
      <c r="V270" s="1"/>
      <c r="W270" s="1"/>
    </row>
    <row r="271" spans="11:23">
      <c r="K271" s="1"/>
      <c r="L271" s="1"/>
      <c r="M271" s="1"/>
      <c r="N271" s="1"/>
      <c r="O271" s="1"/>
      <c r="P271" s="2"/>
      <c r="Q271" s="1"/>
      <c r="R271" s="1"/>
      <c r="S271" s="3"/>
      <c r="T271" s="1"/>
      <c r="U271" s="1"/>
      <c r="V271" s="1"/>
      <c r="W271" s="1"/>
    </row>
    <row r="272" spans="11:23">
      <c r="K272" s="1"/>
      <c r="L272" s="1"/>
      <c r="M272" s="1"/>
      <c r="N272" s="1"/>
      <c r="O272" s="1"/>
      <c r="P272" s="2"/>
      <c r="Q272" s="1"/>
      <c r="R272" s="1"/>
      <c r="S272" s="3"/>
      <c r="T272" s="1"/>
      <c r="U272" s="1"/>
      <c r="V272" s="1"/>
      <c r="W272" s="1"/>
    </row>
    <row r="273" spans="11:23">
      <c r="K273" s="1"/>
      <c r="L273" s="1"/>
      <c r="M273" s="1"/>
      <c r="N273" s="1"/>
      <c r="O273" s="1"/>
      <c r="P273" s="2"/>
      <c r="Q273" s="1"/>
      <c r="R273" s="1"/>
      <c r="S273" s="3"/>
      <c r="T273" s="1"/>
      <c r="U273" s="1"/>
      <c r="V273" s="1"/>
      <c r="W273" s="1"/>
    </row>
    <row r="274" spans="11:23">
      <c r="K274" s="1"/>
      <c r="L274" s="1"/>
      <c r="M274" s="1"/>
      <c r="N274" s="1"/>
      <c r="O274" s="1"/>
      <c r="P274" s="2"/>
      <c r="Q274" s="1"/>
      <c r="R274" s="1"/>
      <c r="S274" s="3"/>
      <c r="T274" s="1"/>
      <c r="U274" s="1"/>
      <c r="V274" s="1"/>
      <c r="W274" s="1"/>
    </row>
    <row r="275" spans="11:23">
      <c r="K275" s="1"/>
      <c r="L275" s="1"/>
      <c r="M275" s="1"/>
      <c r="N275" s="1"/>
      <c r="O275" s="1"/>
      <c r="P275" s="2"/>
      <c r="Q275" s="1"/>
      <c r="R275" s="1"/>
      <c r="S275" s="3"/>
      <c r="T275" s="1"/>
      <c r="U275" s="1"/>
      <c r="V275" s="1"/>
      <c r="W275" s="1"/>
    </row>
    <row r="276" spans="11:23">
      <c r="K276" s="1"/>
      <c r="L276" s="1"/>
      <c r="M276" s="1"/>
      <c r="N276" s="1"/>
      <c r="O276" s="1"/>
      <c r="P276" s="2"/>
      <c r="Q276" s="1"/>
      <c r="R276" s="1"/>
      <c r="S276" s="3"/>
      <c r="T276" s="1"/>
      <c r="U276" s="1"/>
      <c r="V276" s="1"/>
      <c r="W276" s="1"/>
    </row>
    <row r="277" spans="11:23">
      <c r="K277" s="1"/>
      <c r="L277" s="1"/>
      <c r="M277" s="1"/>
      <c r="N277" s="1"/>
      <c r="O277" s="1"/>
      <c r="P277" s="2"/>
      <c r="Q277" s="1"/>
      <c r="R277" s="1"/>
      <c r="S277" s="3"/>
      <c r="T277" s="1"/>
      <c r="U277" s="1"/>
      <c r="V277" s="1"/>
      <c r="W277" s="1"/>
    </row>
    <row r="278" spans="11:23">
      <c r="K278" s="1"/>
      <c r="L278" s="1"/>
      <c r="M278" s="1"/>
      <c r="N278" s="1"/>
      <c r="O278" s="1"/>
      <c r="P278" s="2"/>
      <c r="Q278" s="1"/>
      <c r="R278" s="1"/>
      <c r="S278" s="3"/>
      <c r="T278" s="1"/>
      <c r="U278" s="1"/>
      <c r="V278" s="1"/>
      <c r="W278" s="1"/>
    </row>
    <row r="279" spans="11:23">
      <c r="K279" s="1"/>
      <c r="L279" s="1"/>
      <c r="M279" s="1"/>
      <c r="N279" s="1"/>
      <c r="O279" s="1"/>
      <c r="P279" s="2"/>
      <c r="Q279" s="1"/>
      <c r="R279" s="1"/>
      <c r="S279" s="3"/>
      <c r="T279" s="1"/>
      <c r="U279" s="1"/>
      <c r="V279" s="1"/>
      <c r="W279" s="1"/>
    </row>
    <row r="280" spans="11:23">
      <c r="K280" s="1"/>
      <c r="L280" s="1"/>
      <c r="M280" s="1"/>
      <c r="N280" s="1"/>
      <c r="O280" s="1"/>
      <c r="P280" s="2"/>
      <c r="Q280" s="1"/>
      <c r="R280" s="1"/>
      <c r="S280" s="3"/>
      <c r="T280" s="1"/>
      <c r="U280" s="1"/>
      <c r="V280" s="1"/>
      <c r="W280" s="1"/>
    </row>
    <row r="281" spans="11:23">
      <c r="K281" s="1"/>
      <c r="L281" s="1"/>
      <c r="M281" s="1"/>
      <c r="N281" s="1"/>
      <c r="O281" s="1"/>
      <c r="P281" s="2"/>
      <c r="Q281" s="1"/>
      <c r="R281" s="1"/>
      <c r="S281" s="3"/>
      <c r="T281" s="1"/>
      <c r="U281" s="1"/>
      <c r="V281" s="1"/>
      <c r="W281" s="1"/>
    </row>
    <row r="282" spans="11:23">
      <c r="K282" s="1"/>
      <c r="L282" s="1"/>
      <c r="M282" s="1"/>
      <c r="N282" s="1"/>
      <c r="O282" s="1"/>
      <c r="P282" s="2"/>
      <c r="Q282" s="1"/>
      <c r="R282" s="1"/>
      <c r="S282" s="3"/>
      <c r="T282" s="1"/>
      <c r="U282" s="1"/>
      <c r="V282" s="1"/>
      <c r="W282" s="1"/>
    </row>
    <row r="283" spans="11:23">
      <c r="K283" s="1"/>
      <c r="L283" s="1"/>
      <c r="M283" s="1"/>
      <c r="N283" s="1"/>
      <c r="O283" s="1"/>
      <c r="P283" s="2"/>
      <c r="Q283" s="1"/>
      <c r="R283" s="1"/>
      <c r="S283" s="3"/>
      <c r="T283" s="1"/>
      <c r="U283" s="1"/>
      <c r="V283" s="1"/>
      <c r="W283" s="1"/>
    </row>
    <row r="284" spans="11:23">
      <c r="K284" s="1"/>
      <c r="L284" s="1"/>
      <c r="M284" s="1"/>
      <c r="N284" s="1"/>
      <c r="O284" s="1"/>
      <c r="P284" s="2"/>
      <c r="Q284" s="1"/>
      <c r="R284" s="1"/>
      <c r="S284" s="3"/>
      <c r="T284" s="1"/>
      <c r="U284" s="1"/>
      <c r="V284" s="1"/>
      <c r="W284" s="1"/>
    </row>
    <row r="285" spans="11:23">
      <c r="K285" s="1"/>
      <c r="L285" s="1"/>
      <c r="M285" s="1"/>
      <c r="N285" s="1"/>
      <c r="O285" s="1"/>
      <c r="P285" s="2"/>
      <c r="Q285" s="1"/>
      <c r="R285" s="1"/>
      <c r="S285" s="3"/>
      <c r="T285" s="1"/>
      <c r="U285" s="1"/>
      <c r="V285" s="1"/>
      <c r="W285" s="1"/>
    </row>
    <row r="286" spans="11:23">
      <c r="K286" s="1"/>
      <c r="L286" s="1"/>
      <c r="M286" s="1"/>
      <c r="N286" s="1"/>
      <c r="O286" s="1"/>
      <c r="P286" s="2"/>
      <c r="Q286" s="1"/>
      <c r="R286" s="1"/>
      <c r="S286" s="3"/>
      <c r="T286" s="1"/>
      <c r="U286" s="1"/>
      <c r="V286" s="1"/>
      <c r="W286" s="1"/>
    </row>
    <row r="287" spans="11:23">
      <c r="K287" s="1"/>
      <c r="L287" s="1"/>
      <c r="M287" s="1"/>
      <c r="N287" s="1"/>
      <c r="O287" s="1"/>
      <c r="P287" s="2"/>
      <c r="Q287" s="1"/>
      <c r="R287" s="1"/>
      <c r="S287" s="3"/>
      <c r="T287" s="1"/>
      <c r="U287" s="1"/>
      <c r="V287" s="1"/>
      <c r="W287" s="1"/>
    </row>
    <row r="288" spans="11:23">
      <c r="K288" s="1"/>
      <c r="L288" s="1"/>
      <c r="M288" s="1"/>
      <c r="N288" s="1"/>
      <c r="O288" s="1"/>
      <c r="P288" s="2"/>
      <c r="Q288" s="1"/>
      <c r="R288" s="1"/>
      <c r="S288" s="3"/>
      <c r="T288" s="1"/>
      <c r="U288" s="1"/>
      <c r="V288" s="1"/>
      <c r="W288" s="1"/>
    </row>
    <row r="289" spans="11:23">
      <c r="K289" s="1"/>
      <c r="L289" s="1"/>
      <c r="M289" s="1"/>
      <c r="N289" s="1"/>
      <c r="O289" s="1"/>
      <c r="P289" s="2"/>
      <c r="Q289" s="1"/>
      <c r="R289" s="1"/>
      <c r="S289" s="3"/>
      <c r="T289" s="1"/>
      <c r="U289" s="1"/>
      <c r="V289" s="1"/>
      <c r="W289" s="1"/>
    </row>
    <row r="290" spans="11:23">
      <c r="K290" s="1"/>
      <c r="L290" s="1"/>
      <c r="M290" s="1"/>
      <c r="N290" s="1"/>
      <c r="O290" s="1"/>
      <c r="P290" s="2"/>
      <c r="Q290" s="1"/>
      <c r="R290" s="1"/>
      <c r="S290" s="3"/>
      <c r="T290" s="1"/>
      <c r="U290" s="1"/>
      <c r="V290" s="1"/>
      <c r="W290" s="1"/>
    </row>
    <row r="291" spans="11:23">
      <c r="K291" s="1"/>
      <c r="L291" s="1"/>
      <c r="M291" s="1"/>
      <c r="N291" s="1"/>
      <c r="O291" s="1"/>
      <c r="P291" s="2"/>
      <c r="Q291" s="1"/>
      <c r="R291" s="1"/>
      <c r="S291" s="3"/>
      <c r="T291" s="1"/>
      <c r="U291" s="1"/>
      <c r="V291" s="1"/>
      <c r="W291" s="1"/>
    </row>
    <row r="292" spans="11:23">
      <c r="K292" s="1"/>
      <c r="L292" s="1"/>
      <c r="M292" s="1"/>
      <c r="N292" s="1"/>
      <c r="O292" s="1"/>
      <c r="P292" s="2"/>
      <c r="Q292" s="1"/>
      <c r="R292" s="1"/>
      <c r="S292" s="3"/>
      <c r="T292" s="1"/>
      <c r="U292" s="1"/>
      <c r="V292" s="1"/>
      <c r="W292" s="1"/>
    </row>
    <row r="293" spans="11:23">
      <c r="K293" s="1"/>
      <c r="L293" s="1"/>
      <c r="M293" s="1"/>
      <c r="N293" s="1"/>
      <c r="O293" s="1"/>
      <c r="P293" s="2"/>
      <c r="Q293" s="1"/>
      <c r="R293" s="1"/>
      <c r="S293" s="3"/>
      <c r="T293" s="1"/>
      <c r="U293" s="1"/>
      <c r="V293" s="1"/>
      <c r="W293" s="1"/>
    </row>
    <row r="294" spans="11:23">
      <c r="K294" s="1"/>
      <c r="L294" s="1"/>
      <c r="M294" s="1"/>
      <c r="N294" s="1"/>
      <c r="O294" s="1"/>
      <c r="P294" s="2"/>
      <c r="Q294" s="1"/>
      <c r="R294" s="1"/>
      <c r="S294" s="3"/>
      <c r="T294" s="1"/>
      <c r="U294" s="1"/>
      <c r="V294" s="1"/>
      <c r="W294" s="1"/>
    </row>
    <row r="295" spans="11:23">
      <c r="K295" s="1"/>
      <c r="L295" s="1"/>
      <c r="M295" s="1"/>
      <c r="N295" s="1"/>
      <c r="O295" s="1"/>
      <c r="P295" s="2"/>
      <c r="Q295" s="1"/>
      <c r="R295" s="1"/>
      <c r="S295" s="3"/>
      <c r="T295" s="1"/>
      <c r="U295" s="1"/>
      <c r="V295" s="1"/>
      <c r="W295" s="1"/>
    </row>
    <row r="296" spans="11:23">
      <c r="K296" s="1"/>
      <c r="L296" s="1"/>
      <c r="M296" s="1"/>
      <c r="N296" s="1"/>
      <c r="O296" s="1"/>
      <c r="P296" s="2"/>
      <c r="Q296" s="1"/>
      <c r="R296" s="1"/>
      <c r="S296" s="3"/>
      <c r="T296" s="1"/>
      <c r="U296" s="1"/>
      <c r="V296" s="1"/>
      <c r="W296" s="1"/>
    </row>
    <row r="297" spans="11:23">
      <c r="K297" s="1"/>
      <c r="L297" s="1"/>
      <c r="M297" s="1"/>
      <c r="N297" s="1"/>
      <c r="O297" s="1"/>
      <c r="P297" s="2"/>
      <c r="Q297" s="1"/>
      <c r="R297" s="1"/>
      <c r="S297" s="3"/>
      <c r="T297" s="1"/>
      <c r="U297" s="1"/>
      <c r="V297" s="1"/>
      <c r="W297" s="1"/>
    </row>
    <row r="298" spans="11:23">
      <c r="K298" s="1"/>
      <c r="L298" s="1"/>
      <c r="M298" s="1"/>
      <c r="N298" s="1"/>
      <c r="O298" s="1"/>
      <c r="P298" s="2"/>
      <c r="Q298" s="1"/>
      <c r="R298" s="1"/>
      <c r="S298" s="3"/>
      <c r="T298" s="1"/>
      <c r="U298" s="1"/>
      <c r="V298" s="1"/>
      <c r="W298" s="1"/>
    </row>
    <row r="299" spans="11:23">
      <c r="K299" s="1"/>
      <c r="L299" s="1"/>
      <c r="M299" s="1"/>
      <c r="N299" s="1"/>
      <c r="O299" s="1"/>
      <c r="P299" s="2"/>
      <c r="Q299" s="1"/>
      <c r="R299" s="1"/>
      <c r="S299" s="3"/>
      <c r="T299" s="1"/>
      <c r="U299" s="1"/>
      <c r="V299" s="1"/>
      <c r="W299" s="1"/>
    </row>
    <row r="300" spans="11:23">
      <c r="K300" s="1"/>
      <c r="L300" s="1"/>
      <c r="M300" s="1"/>
      <c r="N300" s="1"/>
      <c r="O300" s="1"/>
      <c r="P300" s="2"/>
      <c r="Q300" s="1"/>
      <c r="R300" s="1"/>
      <c r="S300" s="3"/>
      <c r="T300" s="1"/>
      <c r="U300" s="1"/>
      <c r="V300" s="1"/>
      <c r="W300" s="1"/>
    </row>
    <row r="301" spans="11:23">
      <c r="K301" s="1"/>
      <c r="L301" s="1"/>
      <c r="M301" s="1"/>
      <c r="N301" s="1"/>
      <c r="O301" s="1"/>
      <c r="P301" s="2"/>
      <c r="Q301" s="1"/>
      <c r="R301" s="1"/>
      <c r="S301" s="3"/>
      <c r="T301" s="1"/>
      <c r="U301" s="1"/>
      <c r="V301" s="1"/>
      <c r="W301" s="1"/>
    </row>
    <row r="302" spans="11:23">
      <c r="K302" s="1"/>
      <c r="L302" s="1"/>
      <c r="M302" s="1"/>
      <c r="N302" s="1"/>
      <c r="O302" s="1"/>
      <c r="P302" s="2"/>
      <c r="Q302" s="1"/>
      <c r="R302" s="1"/>
      <c r="S302" s="3"/>
      <c r="T302" s="1"/>
      <c r="U302" s="1"/>
      <c r="V302" s="1"/>
      <c r="W302" s="1"/>
    </row>
    <row r="303" spans="11:23">
      <c r="K303" s="1"/>
      <c r="L303" s="1"/>
      <c r="M303" s="1"/>
      <c r="N303" s="1"/>
      <c r="O303" s="1"/>
      <c r="P303" s="2"/>
      <c r="Q303" s="1"/>
      <c r="R303" s="1"/>
      <c r="S303" s="3"/>
      <c r="T303" s="1"/>
      <c r="U303" s="1"/>
      <c r="V303" s="1"/>
      <c r="W303" s="1"/>
    </row>
    <row r="304" spans="11:23">
      <c r="K304" s="1"/>
      <c r="L304" s="1"/>
      <c r="M304" s="1"/>
      <c r="N304" s="1"/>
      <c r="O304" s="1"/>
      <c r="P304" s="2"/>
      <c r="Q304" s="1"/>
      <c r="R304" s="1"/>
      <c r="S304" s="3"/>
      <c r="T304" s="1"/>
      <c r="U304" s="1"/>
      <c r="V304" s="1"/>
      <c r="W304" s="1"/>
    </row>
    <row r="305" spans="11:23">
      <c r="K305" s="1"/>
      <c r="L305" s="1"/>
      <c r="M305" s="1"/>
      <c r="N305" s="1"/>
      <c r="O305" s="1"/>
      <c r="P305" s="2"/>
      <c r="Q305" s="1"/>
      <c r="R305" s="1"/>
      <c r="S305" s="3"/>
      <c r="T305" s="1"/>
      <c r="U305" s="1"/>
      <c r="V305" s="1"/>
      <c r="W305" s="1"/>
    </row>
    <row r="306" spans="11:23">
      <c r="K306" s="1"/>
      <c r="L306" s="1"/>
      <c r="M306" s="1"/>
      <c r="N306" s="1"/>
      <c r="O306" s="1"/>
      <c r="P306" s="2"/>
      <c r="Q306" s="1"/>
      <c r="R306" s="1"/>
      <c r="S306" s="3"/>
      <c r="T306" s="1"/>
      <c r="U306" s="1"/>
      <c r="V306" s="1"/>
      <c r="W306" s="1"/>
    </row>
    <row r="307" spans="11:23">
      <c r="K307" s="1"/>
      <c r="L307" s="1"/>
      <c r="M307" s="1"/>
      <c r="N307" s="1"/>
      <c r="O307" s="1"/>
      <c r="P307" s="2"/>
      <c r="Q307" s="1"/>
      <c r="R307" s="1"/>
      <c r="S307" s="3"/>
      <c r="T307" s="1"/>
      <c r="U307" s="1"/>
      <c r="V307" s="1"/>
      <c r="W307" s="1"/>
    </row>
    <row r="308" spans="11:23">
      <c r="K308" s="1"/>
      <c r="L308" s="1"/>
      <c r="M308" s="1"/>
      <c r="N308" s="1"/>
      <c r="O308" s="1"/>
      <c r="P308" s="2"/>
      <c r="Q308" s="1"/>
      <c r="R308" s="1"/>
      <c r="S308" s="3"/>
      <c r="T308" s="1"/>
      <c r="U308" s="1"/>
      <c r="V308" s="1"/>
      <c r="W308" s="1"/>
    </row>
    <row r="309" spans="11:23">
      <c r="K309" s="1"/>
      <c r="L309" s="1"/>
      <c r="M309" s="1"/>
      <c r="N309" s="1"/>
      <c r="O309" s="1"/>
      <c r="P309" s="2"/>
      <c r="Q309" s="1"/>
      <c r="R309" s="1"/>
      <c r="S309" s="3"/>
      <c r="T309" s="1"/>
      <c r="U309" s="1"/>
      <c r="V309" s="1"/>
      <c r="W309" s="1"/>
    </row>
    <row r="310" spans="11:23">
      <c r="K310" s="1"/>
      <c r="L310" s="1"/>
      <c r="M310" s="1"/>
      <c r="N310" s="1"/>
      <c r="O310" s="1"/>
      <c r="P310" s="2"/>
      <c r="Q310" s="1"/>
      <c r="R310" s="1"/>
      <c r="S310" s="3"/>
      <c r="T310" s="1"/>
      <c r="U310" s="1"/>
      <c r="V310" s="1"/>
      <c r="W310" s="1"/>
    </row>
    <row r="311" spans="11:23">
      <c r="K311" s="1"/>
      <c r="L311" s="1"/>
      <c r="M311" s="1"/>
      <c r="N311" s="1"/>
      <c r="O311" s="1"/>
      <c r="P311" s="2"/>
      <c r="Q311" s="1"/>
      <c r="R311" s="1"/>
      <c r="S311" s="3"/>
      <c r="T311" s="1"/>
      <c r="U311" s="1"/>
      <c r="V311" s="1"/>
      <c r="W311" s="1"/>
    </row>
    <row r="312" spans="11:23">
      <c r="K312" s="1"/>
      <c r="L312" s="1"/>
      <c r="M312" s="1"/>
      <c r="N312" s="1"/>
      <c r="O312" s="1"/>
      <c r="P312" s="2"/>
      <c r="Q312" s="1"/>
      <c r="R312" s="1"/>
      <c r="S312" s="3"/>
      <c r="T312" s="1"/>
      <c r="U312" s="1"/>
      <c r="V312" s="1"/>
      <c r="W312" s="1"/>
    </row>
    <row r="313" spans="11:23">
      <c r="K313" s="1"/>
      <c r="L313" s="1"/>
      <c r="M313" s="1"/>
      <c r="N313" s="1"/>
      <c r="O313" s="1"/>
      <c r="P313" s="2"/>
      <c r="Q313" s="1"/>
      <c r="R313" s="1"/>
      <c r="S313" s="3"/>
      <c r="T313" s="1"/>
      <c r="U313" s="1"/>
      <c r="V313" s="1"/>
      <c r="W313" s="1"/>
    </row>
    <row r="314" spans="11:23">
      <c r="K314" s="1"/>
      <c r="L314" s="1"/>
      <c r="M314" s="1"/>
      <c r="N314" s="1"/>
      <c r="O314" s="1"/>
      <c r="P314" s="2"/>
      <c r="Q314" s="1"/>
      <c r="R314" s="1"/>
      <c r="S314" s="3"/>
      <c r="T314" s="1"/>
      <c r="U314" s="1"/>
      <c r="V314" s="1"/>
      <c r="W314" s="1"/>
    </row>
    <row r="315" spans="11:23">
      <c r="K315" s="1"/>
      <c r="L315" s="1"/>
      <c r="M315" s="1"/>
      <c r="N315" s="1"/>
      <c r="O315" s="1"/>
      <c r="P315" s="2"/>
      <c r="Q315" s="1"/>
      <c r="R315" s="1"/>
      <c r="S315" s="3"/>
      <c r="T315" s="1"/>
      <c r="U315" s="1"/>
      <c r="V315" s="1"/>
      <c r="W315" s="1"/>
    </row>
    <row r="316" spans="11:23">
      <c r="K316" s="1"/>
      <c r="L316" s="1"/>
      <c r="M316" s="1"/>
      <c r="N316" s="1"/>
      <c r="O316" s="1"/>
      <c r="P316" s="2"/>
      <c r="Q316" s="1"/>
      <c r="R316" s="1"/>
      <c r="S316" s="3"/>
      <c r="T316" s="1"/>
      <c r="U316" s="1"/>
      <c r="V316" s="1"/>
      <c r="W316" s="1"/>
    </row>
    <row r="317" spans="11:23">
      <c r="K317" s="1"/>
      <c r="L317" s="1"/>
      <c r="M317" s="1"/>
      <c r="N317" s="1"/>
      <c r="O317" s="1"/>
      <c r="P317" s="2"/>
      <c r="Q317" s="1"/>
      <c r="R317" s="1"/>
      <c r="S317" s="3"/>
      <c r="T317" s="1"/>
      <c r="U317" s="1"/>
      <c r="V317" s="1"/>
      <c r="W317" s="1"/>
    </row>
    <row r="318" spans="11:23">
      <c r="K318" s="1"/>
      <c r="L318" s="1"/>
      <c r="M318" s="1"/>
      <c r="N318" s="1"/>
      <c r="O318" s="1"/>
      <c r="P318" s="2"/>
      <c r="Q318" s="1"/>
      <c r="R318" s="1"/>
      <c r="S318" s="3"/>
      <c r="T318" s="1"/>
      <c r="U318" s="1"/>
      <c r="V318" s="1"/>
      <c r="W318" s="1"/>
    </row>
    <row r="319" spans="11:23">
      <c r="K319" s="1"/>
      <c r="L319" s="1"/>
      <c r="M319" s="1"/>
      <c r="N319" s="1"/>
      <c r="O319" s="1"/>
      <c r="P319" s="2"/>
      <c r="Q319" s="1"/>
      <c r="R319" s="1"/>
      <c r="S319" s="3"/>
      <c r="T319" s="1"/>
      <c r="U319" s="1"/>
      <c r="V319" s="1"/>
      <c r="W319" s="1"/>
    </row>
    <row r="320" spans="11:23">
      <c r="K320" s="1"/>
      <c r="L320" s="1"/>
      <c r="M320" s="1"/>
      <c r="N320" s="1"/>
      <c r="O320" s="1"/>
      <c r="P320" s="2"/>
      <c r="Q320" s="1"/>
      <c r="R320" s="1"/>
      <c r="S320" s="3"/>
      <c r="T320" s="1"/>
      <c r="U320" s="1"/>
      <c r="V320" s="1"/>
      <c r="W320" s="1"/>
    </row>
    <row r="321" spans="11:23">
      <c r="K321" s="1"/>
      <c r="L321" s="1"/>
      <c r="M321" s="1"/>
      <c r="N321" s="1"/>
      <c r="O321" s="1"/>
      <c r="P321" s="2"/>
      <c r="Q321" s="1"/>
      <c r="R321" s="1"/>
      <c r="S321" s="3"/>
      <c r="T321" s="1"/>
      <c r="U321" s="1"/>
      <c r="V321" s="1"/>
      <c r="W321" s="1"/>
    </row>
    <row r="322" spans="11:23">
      <c r="K322" s="1"/>
      <c r="L322" s="1"/>
      <c r="M322" s="1"/>
      <c r="N322" s="1"/>
      <c r="O322" s="1"/>
      <c r="P322" s="2"/>
      <c r="Q322" s="1"/>
      <c r="R322" s="1"/>
      <c r="S322" s="3"/>
      <c r="T322" s="1"/>
      <c r="U322" s="1"/>
      <c r="V322" s="1"/>
      <c r="W322" s="1"/>
    </row>
    <row r="323" spans="11:23">
      <c r="K323" s="1"/>
      <c r="L323" s="1"/>
      <c r="M323" s="1"/>
      <c r="N323" s="1"/>
      <c r="O323" s="1"/>
      <c r="P323" s="2"/>
      <c r="Q323" s="1"/>
      <c r="R323" s="1"/>
      <c r="S323" s="3"/>
      <c r="T323" s="1"/>
      <c r="U323" s="1"/>
      <c r="V323" s="1"/>
      <c r="W323" s="1"/>
    </row>
    <row r="324" spans="11:23">
      <c r="K324" s="1"/>
      <c r="L324" s="1"/>
      <c r="M324" s="1"/>
      <c r="N324" s="1"/>
      <c r="O324" s="1"/>
      <c r="P324" s="2"/>
      <c r="Q324" s="1"/>
      <c r="R324" s="1"/>
      <c r="S324" s="3"/>
      <c r="T324" s="1"/>
      <c r="U324" s="1"/>
      <c r="V324" s="1"/>
      <c r="W324" s="1"/>
    </row>
    <row r="325" spans="11:23">
      <c r="K325" s="1"/>
      <c r="L325" s="1"/>
      <c r="M325" s="1"/>
      <c r="N325" s="1"/>
      <c r="O325" s="1"/>
      <c r="P325" s="2"/>
      <c r="Q325" s="1"/>
      <c r="R325" s="1"/>
      <c r="S325" s="3"/>
      <c r="T325" s="1"/>
      <c r="U325" s="1"/>
      <c r="V325" s="1"/>
      <c r="W325" s="1"/>
    </row>
    <row r="326" spans="11:23">
      <c r="K326" s="1"/>
      <c r="L326" s="1"/>
      <c r="M326" s="1"/>
      <c r="N326" s="1"/>
      <c r="O326" s="1"/>
      <c r="P326" s="2"/>
      <c r="Q326" s="1"/>
      <c r="R326" s="1"/>
      <c r="S326" s="3"/>
      <c r="T326" s="1"/>
      <c r="U326" s="1"/>
      <c r="V326" s="1"/>
      <c r="W3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C6E0-8DE2-48AD-A8EE-B9AAAB311853}">
  <dimension ref="A3:H22"/>
  <sheetViews>
    <sheetView workbookViewId="0">
      <selection activeCell="E18" sqref="E18"/>
    </sheetView>
  </sheetViews>
  <sheetFormatPr defaultRowHeight="15"/>
  <cols>
    <col min="3" max="3" width="30.85546875" bestFit="1" customWidth="1"/>
    <col min="4" max="4" width="25.7109375" bestFit="1" customWidth="1"/>
    <col min="5" max="5" width="36.5703125" bestFit="1" customWidth="1"/>
    <col min="7" max="7" width="10.140625" customWidth="1"/>
    <col min="8" max="8" width="8.28515625" customWidth="1"/>
  </cols>
  <sheetData>
    <row r="3" spans="3:8">
      <c r="C3" s="27"/>
      <c r="D3" s="27"/>
      <c r="E3" s="27"/>
      <c r="F3" s="27"/>
      <c r="G3" s="27"/>
    </row>
    <row r="4" spans="3:8">
      <c r="C4" s="28" t="s">
        <v>385</v>
      </c>
      <c r="D4" s="27"/>
      <c r="E4" s="27"/>
      <c r="F4" s="27"/>
      <c r="G4" s="27"/>
    </row>
    <row r="7" spans="3:8">
      <c r="D7" s="29" t="s">
        <v>386</v>
      </c>
      <c r="E7" s="31" t="s">
        <v>26</v>
      </c>
      <c r="F7" s="31" t="s">
        <v>16</v>
      </c>
    </row>
    <row r="8" spans="3:8">
      <c r="C8" t="s">
        <v>387</v>
      </c>
      <c r="D8" s="33">
        <f>MIN(Sheet1!F2:F201)</f>
        <v>28</v>
      </c>
      <c r="E8" s="34"/>
      <c r="F8" s="34"/>
    </row>
    <row r="9" spans="3:8">
      <c r="C9" t="s">
        <v>388</v>
      </c>
      <c r="D9" s="33">
        <f>MAX(Sheet1!F2:F201)</f>
        <v>179</v>
      </c>
      <c r="E9" s="34"/>
      <c r="F9" s="32"/>
    </row>
    <row r="10" spans="3:8">
      <c r="C10" t="s">
        <v>389</v>
      </c>
      <c r="D10" s="30">
        <f>LARGE(Sheet1!F2:F201,H11)</f>
        <v>172</v>
      </c>
      <c r="E10" s="34"/>
      <c r="F10" s="32"/>
    </row>
    <row r="11" spans="3:8">
      <c r="D11" s="30">
        <f>LARGE(Sheet1!F3:F202,H12)</f>
        <v>169</v>
      </c>
      <c r="E11" s="34"/>
      <c r="F11" s="32"/>
      <c r="H11">
        <v>15</v>
      </c>
    </row>
    <row r="12" spans="3:8">
      <c r="D12" s="30">
        <f>LARGE(Sheet1!F4:F203,H13)</f>
        <v>164</v>
      </c>
      <c r="E12" s="34"/>
      <c r="F12" s="32"/>
      <c r="H12">
        <v>20</v>
      </c>
    </row>
    <row r="13" spans="3:8">
      <c r="D13" s="30">
        <f>LARGE(Sheet1!F5:F204,H14)</f>
        <v>157</v>
      </c>
      <c r="E13" s="34"/>
      <c r="F13" s="32"/>
      <c r="H13">
        <v>25</v>
      </c>
    </row>
    <row r="14" spans="3:8">
      <c r="D14" s="30">
        <f>LARGE(Sheet1!F6:F205,H15)</f>
        <v>155</v>
      </c>
      <c r="E14" s="34"/>
      <c r="F14" s="32"/>
      <c r="H14">
        <v>30</v>
      </c>
    </row>
    <row r="15" spans="3:8">
      <c r="H15">
        <v>35</v>
      </c>
    </row>
    <row r="22" spans="1:1">
      <c r="A22" s="49" t="s">
        <v>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2FBBA-F0A0-4F4F-9DD8-9D3E3413C419}">
  <dimension ref="E3:L23"/>
  <sheetViews>
    <sheetView workbookViewId="0">
      <selection activeCell="G5" sqref="G5"/>
    </sheetView>
  </sheetViews>
  <sheetFormatPr defaultRowHeight="15"/>
  <cols>
    <col min="5" max="5" width="24.28515625" customWidth="1"/>
    <col min="7" max="7" width="16.7109375" bestFit="1" customWidth="1"/>
  </cols>
  <sheetData>
    <row r="3" spans="5:7">
      <c r="E3" s="35" t="s">
        <v>4</v>
      </c>
      <c r="G3" s="35" t="s">
        <v>390</v>
      </c>
    </row>
    <row r="4" spans="5:7">
      <c r="E4" t="str" cm="1">
        <f t="array" ref="E4:E18">_xlfn.UNIQUE(Sheet1!E2:E201)</f>
        <v>Engineering</v>
      </c>
      <c r="G4">
        <f>COUNTA(_xlfn.ANCHORARRAY(E4))</f>
        <v>15</v>
      </c>
    </row>
    <row r="5" spans="5:7">
      <c r="E5" t="str">
        <v>Product Management</v>
      </c>
    </row>
    <row r="6" spans="5:7">
      <c r="E6" t="str">
        <v>Customer Service</v>
      </c>
    </row>
    <row r="7" spans="5:7">
      <c r="E7" t="str">
        <v>Finance</v>
      </c>
    </row>
    <row r="8" spans="5:7">
      <c r="E8" t="str">
        <v>IT</v>
      </c>
    </row>
    <row r="9" spans="5:7">
      <c r="E9" t="str">
        <v>Business Development</v>
      </c>
    </row>
    <row r="10" spans="5:7">
      <c r="E10" t="str">
        <v>Operations</v>
      </c>
    </row>
    <row r="11" spans="5:7">
      <c r="E11" t="str">
        <v>Marketing</v>
      </c>
    </row>
    <row r="12" spans="5:7">
      <c r="E12" t="str">
        <v>Data Analytics</v>
      </c>
    </row>
    <row r="13" spans="5:7">
      <c r="E13" t="str">
        <v>Accounting</v>
      </c>
    </row>
    <row r="14" spans="5:7">
      <c r="E14" t="str">
        <v>Sales</v>
      </c>
    </row>
    <row r="15" spans="5:7">
      <c r="E15" t="str">
        <v>Human Resources</v>
      </c>
    </row>
    <row r="16" spans="5:7">
      <c r="E16" t="str">
        <v>Legal</v>
      </c>
    </row>
    <row r="17" spans="5:12">
      <c r="E17" t="str">
        <v>Training</v>
      </c>
    </row>
    <row r="18" spans="5:12">
      <c r="E18" t="str">
        <v>Research and Development</v>
      </c>
    </row>
    <row r="23" spans="5:12">
      <c r="L23" s="49" t="s">
        <v>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0BAA-31C9-4587-80C5-8826A580DC0E}">
  <dimension ref="A1:M202"/>
  <sheetViews>
    <sheetView topLeftCell="A3" workbookViewId="0">
      <selection activeCell="E23" sqref="E23"/>
    </sheetView>
  </sheetViews>
  <sheetFormatPr defaultRowHeight="15"/>
  <cols>
    <col min="2" max="2" width="16.28515625" bestFit="1" customWidth="1"/>
    <col min="3" max="3" width="15.7109375" customWidth="1"/>
  </cols>
  <sheetData>
    <row r="1" spans="1:1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>
      <c r="A2" s="1" t="s">
        <v>391</v>
      </c>
      <c r="B2" s="19" t="s">
        <v>392</v>
      </c>
      <c r="C2" s="1"/>
      <c r="D2" s="1"/>
      <c r="E2" s="1"/>
      <c r="F2" s="2"/>
      <c r="G2" s="1"/>
      <c r="H2" s="1"/>
      <c r="I2" s="3"/>
      <c r="J2" s="1"/>
      <c r="K2" s="1"/>
      <c r="L2" s="1"/>
      <c r="M2" s="1"/>
    </row>
    <row r="3" spans="1:13">
      <c r="A3" s="1"/>
      <c r="B3" s="1"/>
      <c r="C3" s="1"/>
      <c r="D3" s="1"/>
      <c r="E3" s="1"/>
      <c r="F3" s="2"/>
      <c r="G3" s="1"/>
      <c r="H3" s="1"/>
      <c r="I3" s="3"/>
      <c r="J3" s="1"/>
      <c r="K3" s="1"/>
      <c r="L3" s="1"/>
      <c r="M3" s="1"/>
    </row>
    <row r="4" spans="1:13">
      <c r="A4" s="1"/>
      <c r="B4" s="1"/>
      <c r="C4" s="1"/>
      <c r="D4" s="1"/>
      <c r="E4" s="1"/>
      <c r="F4" s="2"/>
      <c r="G4" s="1"/>
      <c r="H4" s="1"/>
      <c r="I4" s="3"/>
      <c r="J4" s="1"/>
      <c r="K4" s="1"/>
      <c r="L4" s="1"/>
      <c r="M4" s="1"/>
    </row>
    <row r="5" spans="1:13">
      <c r="A5" s="1"/>
      <c r="B5" s="1"/>
      <c r="C5" s="1"/>
      <c r="D5" s="1"/>
      <c r="E5" s="1"/>
      <c r="F5" s="2"/>
      <c r="G5" s="1"/>
      <c r="H5" s="1"/>
      <c r="I5" s="3"/>
      <c r="J5" s="1"/>
      <c r="K5" s="1"/>
      <c r="L5" s="1"/>
      <c r="M5" s="1"/>
    </row>
    <row r="6" spans="1:13">
      <c r="A6" s="1"/>
      <c r="B6" s="1" t="s">
        <v>393</v>
      </c>
      <c r="C6" s="36" t="s">
        <v>81</v>
      </c>
      <c r="D6" s="1"/>
      <c r="E6" s="1"/>
      <c r="F6" s="2"/>
      <c r="G6" s="1"/>
      <c r="H6" s="1"/>
      <c r="I6" s="3"/>
      <c r="J6" s="1"/>
      <c r="K6" s="1"/>
      <c r="L6" s="1"/>
      <c r="M6" s="1"/>
    </row>
    <row r="7" spans="1:13">
      <c r="A7" s="1"/>
      <c r="B7" s="1"/>
      <c r="C7" s="1"/>
      <c r="D7" s="1"/>
      <c r="E7" s="1"/>
      <c r="F7" s="2"/>
      <c r="G7" s="1"/>
      <c r="H7" s="1"/>
      <c r="I7" s="3"/>
      <c r="J7" s="1"/>
      <c r="K7" s="1"/>
      <c r="L7" s="1"/>
      <c r="M7" s="1"/>
    </row>
    <row r="8" spans="1:13">
      <c r="A8" s="1"/>
      <c r="B8" s="1"/>
      <c r="C8" s="1"/>
      <c r="D8" s="1"/>
      <c r="E8" s="1"/>
      <c r="F8" s="2"/>
      <c r="G8" s="1"/>
      <c r="H8" s="1"/>
      <c r="I8" s="3"/>
      <c r="J8" s="1"/>
      <c r="K8" s="1"/>
      <c r="L8" s="1"/>
      <c r="M8" s="1"/>
    </row>
    <row r="9" spans="1:13">
      <c r="A9" s="1">
        <v>2</v>
      </c>
      <c r="B9" s="1" t="s">
        <v>394</v>
      </c>
      <c r="C9" s="37" t="str">
        <f>VLOOKUP($C$6,Sheet1!A2:O201,A9,FALSE)</f>
        <v>Ingrid</v>
      </c>
      <c r="D9" s="1"/>
      <c r="E9" s="1"/>
      <c r="F9" s="2"/>
      <c r="G9" s="1"/>
      <c r="H9" s="1"/>
      <c r="I9" s="3"/>
      <c r="J9" s="1"/>
      <c r="K9" s="1"/>
      <c r="L9" s="49" t="s">
        <v>379</v>
      </c>
      <c r="M9" s="1"/>
    </row>
    <row r="10" spans="1:13">
      <c r="A10" s="1">
        <v>3</v>
      </c>
      <c r="B10" s="1" t="s">
        <v>395</v>
      </c>
      <c r="C10" s="37" t="str">
        <f>VLOOKUP($C$6,Sheet1!A3:O202,A10,FALSE)</f>
        <v>Davis</v>
      </c>
      <c r="D10" s="1"/>
      <c r="E10" s="1"/>
      <c r="F10" s="2"/>
      <c r="G10" s="1"/>
      <c r="H10" s="1"/>
      <c r="I10" s="3"/>
      <c r="J10" s="1"/>
      <c r="K10" s="1"/>
      <c r="L10" s="1"/>
      <c r="M10" s="1"/>
    </row>
    <row r="11" spans="1:13">
      <c r="A11" s="1">
        <v>5</v>
      </c>
      <c r="B11" s="1" t="s">
        <v>396</v>
      </c>
      <c r="C11" s="37" t="str">
        <f>VLOOKUP($C$6,Sheet1!A4:O203,A11,FALSE)</f>
        <v>Accounting</v>
      </c>
      <c r="D11" s="1"/>
      <c r="E11" s="1"/>
      <c r="F11" s="2"/>
      <c r="G11" s="1"/>
      <c r="H11" s="1"/>
      <c r="I11" s="3"/>
      <c r="J11" s="1"/>
      <c r="K11" s="1"/>
      <c r="L11" s="1"/>
      <c r="M11" s="1"/>
    </row>
    <row r="12" spans="1:13">
      <c r="A12" s="1">
        <v>6</v>
      </c>
      <c r="B12" s="1" t="s">
        <v>5</v>
      </c>
      <c r="C12" s="37">
        <f>VLOOKUP($C$6,Sheet1!A5:O204,A12,FALSE)</f>
        <v>64</v>
      </c>
      <c r="D12" s="1"/>
      <c r="E12" s="1"/>
      <c r="F12" s="2"/>
      <c r="G12" s="1"/>
      <c r="H12" s="1"/>
      <c r="I12" s="3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2"/>
      <c r="G13" s="1"/>
      <c r="H13" s="1"/>
      <c r="I13" s="3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2"/>
      <c r="G14" s="1"/>
      <c r="H14" s="1"/>
      <c r="I14" s="3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2"/>
      <c r="G15" s="1"/>
      <c r="H15" s="1"/>
      <c r="I15" s="3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2"/>
      <c r="G16" s="1"/>
      <c r="H16" s="1"/>
      <c r="I16" s="3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2"/>
      <c r="G17" s="1"/>
      <c r="H17" s="1"/>
      <c r="I17" s="3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2"/>
      <c r="G18" s="1"/>
      <c r="H18" s="1"/>
      <c r="I18" s="3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2"/>
      <c r="G19" s="1"/>
      <c r="H19" s="1"/>
      <c r="I19" s="3"/>
      <c r="J19" s="1"/>
      <c r="K19" s="1"/>
      <c r="L19" s="1"/>
      <c r="M19" s="1"/>
    </row>
    <row r="20" spans="1:13">
      <c r="A20" s="1"/>
      <c r="B20" s="1" t="s">
        <v>395</v>
      </c>
      <c r="C20" s="36" t="s">
        <v>82</v>
      </c>
      <c r="D20" s="1"/>
      <c r="E20" s="1"/>
      <c r="F20" s="2"/>
      <c r="G20" s="1"/>
      <c r="H20" s="1"/>
      <c r="I20" s="3"/>
      <c r="J20" s="1"/>
      <c r="K20" s="1"/>
      <c r="L20" s="1"/>
      <c r="M20" s="1"/>
    </row>
    <row r="21" spans="1:13" ht="17.25" customHeight="1">
      <c r="A21" s="1"/>
      <c r="B21" s="1"/>
      <c r="C21" s="20">
        <f>MATCH('Vlookup-Index-'!C20,Sheet1!C2:C201,0)</f>
        <v>13</v>
      </c>
      <c r="D21" s="1"/>
      <c r="E21" s="1"/>
      <c r="F21" s="2"/>
      <c r="G21" s="1"/>
      <c r="H21" s="1"/>
      <c r="I21" s="3"/>
      <c r="J21" s="1"/>
      <c r="K21" s="1"/>
      <c r="L21" s="1"/>
      <c r="M21" s="1"/>
    </row>
    <row r="22" spans="1:13" ht="17.25" customHeight="1">
      <c r="A22" s="1"/>
      <c r="B22" s="1"/>
      <c r="C22" s="20"/>
      <c r="D22" s="1"/>
      <c r="E22" s="1"/>
      <c r="F22" s="2"/>
      <c r="G22" s="1"/>
      <c r="H22" s="1"/>
      <c r="I22" s="3"/>
      <c r="J22" s="1"/>
      <c r="K22" s="1"/>
      <c r="L22" s="1"/>
      <c r="M22" s="1"/>
    </row>
    <row r="23" spans="1:13" ht="15" customHeight="1">
      <c r="A23" s="1"/>
      <c r="B23" s="1" t="s">
        <v>397</v>
      </c>
      <c r="C23" s="38" t="str">
        <f>INDEX(Sheet1!A:A, MATCH(C20, Sheet1!C:C, 0))</f>
        <v>PR19000</v>
      </c>
      <c r="D23" s="1"/>
      <c r="E23" s="39" t="str" cm="1">
        <f t="array" ref="E23">INDEX(Sheet1!A:A, C21)</f>
        <v>PR47648</v>
      </c>
      <c r="F23" s="2"/>
      <c r="G23" s="1"/>
      <c r="H23" s="1"/>
      <c r="I23" s="3"/>
      <c r="J23" s="1"/>
      <c r="K23" s="1"/>
      <c r="L23" s="1"/>
      <c r="M23" s="1"/>
    </row>
    <row r="24" spans="1:13">
      <c r="A24" s="1"/>
      <c r="B24" s="1" t="s">
        <v>396</v>
      </c>
      <c r="C24" s="37" t="str">
        <f>INDEX(Sheet1!E:E, MATCH(C20, Sheet1!C:C, 0))</f>
        <v>Accounting</v>
      </c>
      <c r="D24" s="1"/>
      <c r="E24" s="1"/>
      <c r="F24" s="2"/>
      <c r="G24" s="1"/>
      <c r="H24" s="1"/>
      <c r="I24" s="3"/>
      <c r="J24" s="1"/>
      <c r="K24" s="1"/>
      <c r="L24" s="1"/>
      <c r="M24" s="1"/>
    </row>
    <row r="25" spans="1:13">
      <c r="A25" s="1"/>
      <c r="B25" s="1" t="s">
        <v>398</v>
      </c>
      <c r="C25" s="37">
        <f>INDEX(Sheet1!F:F, MATCH(C20, Sheet1!C:C, 0))</f>
        <v>64</v>
      </c>
      <c r="D25" s="1"/>
      <c r="E25" s="1"/>
      <c r="F25" s="2"/>
      <c r="G25" s="1"/>
      <c r="H25" s="1"/>
      <c r="I25" s="3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2"/>
      <c r="G26" s="1"/>
      <c r="H26" s="1"/>
      <c r="I26" s="3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2"/>
      <c r="G27" s="1"/>
      <c r="H27" s="1"/>
      <c r="I27" s="3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2"/>
      <c r="G28" s="1"/>
      <c r="H28" s="1"/>
      <c r="I28" s="3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2"/>
      <c r="G29" s="1"/>
      <c r="H29" s="1"/>
      <c r="I29" s="3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2"/>
      <c r="G30" s="1"/>
      <c r="H30" s="1"/>
      <c r="I30" s="3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2"/>
      <c r="G31" s="1"/>
      <c r="H31" s="1"/>
      <c r="I31" s="3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2"/>
      <c r="G32" s="1"/>
      <c r="H32" s="1"/>
      <c r="I32" s="3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2"/>
      <c r="G33" s="1"/>
      <c r="H33" s="1"/>
      <c r="I33" s="3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2"/>
      <c r="G34" s="1"/>
      <c r="H34" s="1"/>
      <c r="I34" s="3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2"/>
      <c r="G35" s="1"/>
      <c r="H35" s="1"/>
      <c r="I35" s="3"/>
      <c r="J35" s="1"/>
      <c r="K35" s="1"/>
      <c r="L35" s="1"/>
      <c r="M35" s="1"/>
    </row>
    <row r="36" spans="1:13">
      <c r="A36" s="1"/>
      <c r="B36" s="1"/>
      <c r="C36" s="1"/>
      <c r="D36" s="1"/>
      <c r="E36" s="1"/>
      <c r="F36" s="2"/>
      <c r="G36" s="1"/>
      <c r="H36" s="1"/>
      <c r="I36" s="3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2"/>
      <c r="G37" s="1"/>
      <c r="H37" s="1"/>
      <c r="I37" s="3"/>
      <c r="J37" s="1"/>
      <c r="K37" s="1"/>
      <c r="L37" s="1"/>
      <c r="M37" s="1"/>
    </row>
    <row r="38" spans="1:13">
      <c r="A38" s="1"/>
      <c r="B38" s="1"/>
      <c r="C38" s="1"/>
      <c r="D38" s="1"/>
      <c r="E38" s="1"/>
      <c r="F38" s="2"/>
      <c r="G38" s="1"/>
      <c r="H38" s="1"/>
      <c r="I38" s="3"/>
      <c r="J38" s="1"/>
      <c r="K38" s="1"/>
      <c r="L38" s="1"/>
      <c r="M38" s="1"/>
    </row>
    <row r="39" spans="1:13">
      <c r="A39" s="1"/>
      <c r="B39" s="1"/>
      <c r="C39" s="1"/>
      <c r="D39" s="1"/>
      <c r="E39" s="1"/>
      <c r="F39" s="2"/>
      <c r="G39" s="1"/>
      <c r="H39" s="1"/>
      <c r="I39" s="3"/>
      <c r="J39" s="1"/>
      <c r="K39" s="1"/>
      <c r="L39" s="1"/>
      <c r="M39" s="1"/>
    </row>
    <row r="40" spans="1:13">
      <c r="A40" s="1"/>
      <c r="B40" s="1"/>
      <c r="C40" s="1"/>
      <c r="D40" s="1"/>
      <c r="E40" s="1"/>
      <c r="F40" s="2"/>
      <c r="G40" s="1"/>
      <c r="H40" s="1"/>
      <c r="I40" s="3"/>
      <c r="J40" s="1"/>
      <c r="K40" s="1"/>
      <c r="L40" s="1"/>
      <c r="M40" s="1"/>
    </row>
    <row r="41" spans="1:13">
      <c r="A41" s="1"/>
      <c r="B41" s="1"/>
      <c r="C41" s="1"/>
      <c r="D41" s="1"/>
      <c r="E41" s="1"/>
      <c r="F41" s="2"/>
      <c r="G41" s="1"/>
      <c r="H41" s="1"/>
      <c r="I41" s="3"/>
      <c r="J41" s="1"/>
      <c r="K41" s="1"/>
      <c r="L41" s="1"/>
      <c r="M41" s="1"/>
    </row>
    <row r="42" spans="1:13">
      <c r="A42" s="1"/>
      <c r="B42" s="1"/>
      <c r="C42" s="1"/>
      <c r="D42" s="1"/>
      <c r="E42" s="1"/>
      <c r="F42" s="2"/>
      <c r="G42" s="1"/>
      <c r="H42" s="1"/>
      <c r="I42" s="3"/>
      <c r="J42" s="1"/>
      <c r="K42" s="1"/>
      <c r="L42" s="1"/>
      <c r="M42" s="1"/>
    </row>
    <row r="43" spans="1:13">
      <c r="A43" s="1"/>
      <c r="B43" s="1"/>
      <c r="C43" s="1"/>
      <c r="D43" s="1"/>
      <c r="E43" s="1"/>
      <c r="F43" s="2"/>
      <c r="G43" s="1"/>
      <c r="H43" s="1"/>
      <c r="I43" s="3"/>
      <c r="J43" s="1"/>
      <c r="K43" s="1"/>
      <c r="L43" s="1"/>
      <c r="M43" s="1"/>
    </row>
    <row r="44" spans="1:13">
      <c r="A44" s="1"/>
      <c r="B44" s="1"/>
      <c r="C44" s="1"/>
      <c r="D44" s="1"/>
      <c r="E44" s="1"/>
      <c r="F44" s="2"/>
      <c r="G44" s="1"/>
      <c r="H44" s="1"/>
      <c r="I44" s="3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2"/>
      <c r="G45" s="1"/>
      <c r="H45" s="1"/>
      <c r="I45" s="3"/>
      <c r="J45" s="1"/>
      <c r="K45" s="1"/>
      <c r="L45" s="1"/>
      <c r="M45" s="1"/>
    </row>
    <row r="46" spans="1:13">
      <c r="A46" s="1"/>
      <c r="B46" s="1"/>
      <c r="C46" s="1"/>
      <c r="D46" s="1"/>
      <c r="E46" s="1"/>
      <c r="F46" s="2"/>
      <c r="G46" s="1"/>
      <c r="H46" s="1"/>
      <c r="I46" s="3"/>
      <c r="J46" s="1"/>
      <c r="K46" s="1"/>
      <c r="L46" s="1"/>
      <c r="M46" s="1"/>
    </row>
    <row r="47" spans="1:13">
      <c r="A47" s="1"/>
      <c r="B47" s="1"/>
      <c r="C47" s="1"/>
      <c r="D47" s="1"/>
      <c r="E47" s="1"/>
      <c r="F47" s="2"/>
      <c r="G47" s="1"/>
      <c r="H47" s="1"/>
      <c r="I47" s="3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2"/>
      <c r="G48" s="1"/>
      <c r="H48" s="1"/>
      <c r="I48" s="3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2"/>
      <c r="G49" s="1"/>
      <c r="H49" s="1"/>
      <c r="I49" s="3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2"/>
      <c r="G50" s="1"/>
      <c r="H50" s="1"/>
      <c r="I50" s="3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2"/>
      <c r="G51" s="1"/>
      <c r="H51" s="1"/>
      <c r="I51" s="3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2"/>
      <c r="G52" s="1"/>
      <c r="H52" s="1"/>
      <c r="I52" s="3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2"/>
      <c r="G53" s="1"/>
      <c r="H53" s="1"/>
      <c r="I53" s="3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2"/>
      <c r="G54" s="1"/>
      <c r="H54" s="1"/>
      <c r="I54" s="3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2"/>
      <c r="G55" s="1"/>
      <c r="H55" s="1"/>
      <c r="I55" s="3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2"/>
      <c r="G56" s="1"/>
      <c r="H56" s="1"/>
      <c r="I56" s="3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2"/>
      <c r="G57" s="1"/>
      <c r="H57" s="1"/>
      <c r="I57" s="3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2"/>
      <c r="G58" s="1"/>
      <c r="H58" s="1"/>
      <c r="I58" s="3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2"/>
      <c r="G59" s="1"/>
      <c r="H59" s="1"/>
      <c r="I59" s="3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2"/>
      <c r="G60" s="1"/>
      <c r="H60" s="1"/>
      <c r="I60" s="3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2"/>
      <c r="G61" s="1"/>
      <c r="H61" s="1"/>
      <c r="I61" s="3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2"/>
      <c r="G62" s="1"/>
      <c r="H62" s="1"/>
      <c r="I62" s="3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2"/>
      <c r="G63" s="1"/>
      <c r="H63" s="1"/>
      <c r="I63" s="3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2"/>
      <c r="G64" s="1"/>
      <c r="H64" s="1"/>
      <c r="I64" s="3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2"/>
      <c r="G65" s="1"/>
      <c r="H65" s="1"/>
      <c r="I65" s="3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2"/>
      <c r="G66" s="1"/>
      <c r="H66" s="1"/>
      <c r="I66" s="3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2"/>
      <c r="G67" s="1"/>
      <c r="H67" s="1"/>
      <c r="I67" s="3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2"/>
      <c r="G68" s="1"/>
      <c r="H68" s="1"/>
      <c r="I68" s="3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2"/>
      <c r="G69" s="1"/>
      <c r="H69" s="1"/>
      <c r="I69" s="3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2"/>
      <c r="G70" s="1"/>
      <c r="H70" s="1"/>
      <c r="I70" s="3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2"/>
      <c r="G71" s="1"/>
      <c r="H71" s="1"/>
      <c r="I71" s="3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2"/>
      <c r="G72" s="1"/>
      <c r="H72" s="1"/>
      <c r="I72" s="3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2"/>
      <c r="G73" s="1"/>
      <c r="H73" s="1"/>
      <c r="I73" s="3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2"/>
      <c r="G74" s="1"/>
      <c r="H74" s="1"/>
      <c r="I74" s="3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2"/>
      <c r="G75" s="1"/>
      <c r="H75" s="1"/>
      <c r="I75" s="3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2"/>
      <c r="G76" s="1"/>
      <c r="H76" s="1"/>
      <c r="I76" s="3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2"/>
      <c r="G77" s="1"/>
      <c r="H77" s="1"/>
      <c r="I77" s="3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2"/>
      <c r="G78" s="1"/>
      <c r="H78" s="1"/>
      <c r="I78" s="3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2"/>
      <c r="G79" s="1"/>
      <c r="H79" s="1"/>
      <c r="I79" s="3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2"/>
      <c r="G80" s="1"/>
      <c r="H80" s="1"/>
      <c r="I80" s="3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2"/>
      <c r="G81" s="1"/>
      <c r="H81" s="1"/>
      <c r="I81" s="3"/>
      <c r="J81" s="1"/>
      <c r="K81" s="1"/>
      <c r="L81" s="1"/>
      <c r="M81" s="1"/>
    </row>
    <row r="82" spans="1:13">
      <c r="A82" s="1"/>
      <c r="B82" s="1"/>
      <c r="C82" s="1"/>
      <c r="D82" s="1"/>
      <c r="E82" s="1"/>
      <c r="F82" s="2"/>
      <c r="G82" s="1"/>
      <c r="H82" s="1"/>
      <c r="I82" s="3"/>
      <c r="J82" s="1"/>
      <c r="K82" s="1"/>
      <c r="L82" s="1"/>
      <c r="M82" s="1"/>
    </row>
    <row r="83" spans="1:13">
      <c r="A83" s="1"/>
      <c r="B83" s="1"/>
      <c r="C83" s="1"/>
      <c r="D83" s="1"/>
      <c r="E83" s="1"/>
      <c r="F83" s="2"/>
      <c r="G83" s="1"/>
      <c r="H83" s="1"/>
      <c r="I83" s="3"/>
      <c r="J83" s="1"/>
      <c r="K83" s="1"/>
      <c r="L83" s="1"/>
      <c r="M83" s="1"/>
    </row>
    <row r="84" spans="1:13">
      <c r="A84" s="1"/>
      <c r="B84" s="1"/>
      <c r="C84" s="1"/>
      <c r="D84" s="1"/>
      <c r="E84" s="1"/>
      <c r="F84" s="2"/>
      <c r="G84" s="1"/>
      <c r="H84" s="1"/>
      <c r="I84" s="3"/>
      <c r="J84" s="1"/>
      <c r="K84" s="1"/>
      <c r="L84" s="1"/>
      <c r="M84" s="1"/>
    </row>
    <row r="85" spans="1:13">
      <c r="A85" s="1"/>
      <c r="B85" s="1"/>
      <c r="C85" s="1"/>
      <c r="D85" s="1"/>
      <c r="E85" s="1"/>
      <c r="F85" s="2"/>
      <c r="G85" s="1"/>
      <c r="H85" s="1"/>
      <c r="I85" s="3"/>
      <c r="J85" s="1"/>
      <c r="K85" s="1"/>
      <c r="L85" s="1"/>
      <c r="M85" s="1"/>
    </row>
    <row r="86" spans="1:13">
      <c r="A86" s="1"/>
      <c r="B86" s="1"/>
      <c r="C86" s="1"/>
      <c r="D86" s="1"/>
      <c r="E86" s="1"/>
      <c r="F86" s="2"/>
      <c r="G86" s="1"/>
      <c r="H86" s="1"/>
      <c r="I86" s="3"/>
      <c r="J86" s="1"/>
      <c r="K86" s="1"/>
      <c r="L86" s="1"/>
      <c r="M86" s="1"/>
    </row>
    <row r="87" spans="1:13">
      <c r="A87" s="1"/>
      <c r="B87" s="1"/>
      <c r="C87" s="1"/>
      <c r="D87" s="1"/>
      <c r="E87" s="1"/>
      <c r="F87" s="2"/>
      <c r="G87" s="1"/>
      <c r="H87" s="1"/>
      <c r="I87" s="3"/>
      <c r="J87" s="1"/>
      <c r="K87" s="1"/>
      <c r="L87" s="1"/>
      <c r="M87" s="1"/>
    </row>
    <row r="88" spans="1:13">
      <c r="A88" s="1"/>
      <c r="B88" s="1"/>
      <c r="C88" s="1"/>
      <c r="D88" s="1"/>
      <c r="E88" s="1"/>
      <c r="F88" s="2"/>
      <c r="G88" s="1"/>
      <c r="H88" s="1"/>
      <c r="I88" s="3"/>
      <c r="J88" s="1"/>
      <c r="K88" s="1"/>
      <c r="L88" s="1"/>
      <c r="M88" s="1"/>
    </row>
    <row r="89" spans="1:13">
      <c r="A89" s="1"/>
      <c r="B89" s="1"/>
      <c r="C89" s="1"/>
      <c r="D89" s="1"/>
      <c r="E89" s="1"/>
      <c r="F89" s="2"/>
      <c r="G89" s="1"/>
      <c r="H89" s="1"/>
      <c r="I89" s="3"/>
      <c r="J89" s="1"/>
      <c r="K89" s="1"/>
      <c r="L89" s="1"/>
      <c r="M89" s="1"/>
    </row>
    <row r="90" spans="1:13">
      <c r="A90" s="1"/>
      <c r="B90" s="1"/>
      <c r="C90" s="1"/>
      <c r="D90" s="1"/>
      <c r="E90" s="1"/>
      <c r="F90" s="2"/>
      <c r="G90" s="1"/>
      <c r="H90" s="1"/>
      <c r="I90" s="3"/>
      <c r="J90" s="1"/>
      <c r="K90" s="1"/>
      <c r="L90" s="1"/>
      <c r="M90" s="1"/>
    </row>
    <row r="91" spans="1:13">
      <c r="A91" s="1"/>
      <c r="B91" s="1"/>
      <c r="C91" s="1"/>
      <c r="D91" s="1"/>
      <c r="E91" s="1"/>
      <c r="F91" s="2"/>
      <c r="G91" s="1"/>
      <c r="H91" s="1"/>
      <c r="I91" s="3"/>
      <c r="J91" s="1"/>
      <c r="K91" s="1"/>
      <c r="L91" s="1"/>
      <c r="M91" s="1"/>
    </row>
    <row r="92" spans="1:13">
      <c r="A92" s="1"/>
      <c r="B92" s="1"/>
      <c r="C92" s="1"/>
      <c r="D92" s="1"/>
      <c r="E92" s="1"/>
      <c r="F92" s="2"/>
      <c r="G92" s="1"/>
      <c r="H92" s="1"/>
      <c r="I92" s="3"/>
      <c r="J92" s="1"/>
      <c r="K92" s="1"/>
      <c r="L92" s="1"/>
      <c r="M92" s="1"/>
    </row>
    <row r="93" spans="1:13">
      <c r="A93" s="1"/>
      <c r="B93" s="1"/>
      <c r="C93" s="1"/>
      <c r="D93" s="1"/>
      <c r="E93" s="1"/>
      <c r="F93" s="2"/>
      <c r="G93" s="1"/>
      <c r="H93" s="1"/>
      <c r="I93" s="3"/>
      <c r="J93" s="1"/>
      <c r="K93" s="1"/>
      <c r="L93" s="1"/>
      <c r="M93" s="1"/>
    </row>
    <row r="94" spans="1:13">
      <c r="A94" s="1"/>
      <c r="B94" s="1"/>
      <c r="C94" s="1"/>
      <c r="D94" s="1"/>
      <c r="E94" s="1"/>
      <c r="F94" s="2"/>
      <c r="G94" s="1"/>
      <c r="H94" s="1"/>
      <c r="I94" s="3"/>
      <c r="J94" s="1"/>
      <c r="K94" s="1"/>
      <c r="L94" s="1"/>
      <c r="M94" s="1"/>
    </row>
    <row r="95" spans="1:13">
      <c r="A95" s="1"/>
      <c r="B95" s="1"/>
      <c r="C95" s="1"/>
      <c r="D95" s="1"/>
      <c r="E95" s="1"/>
      <c r="F95" s="2"/>
      <c r="G95" s="1"/>
      <c r="H95" s="1"/>
      <c r="I95" s="3"/>
      <c r="J95" s="1"/>
      <c r="K95" s="1"/>
      <c r="L95" s="1"/>
      <c r="M95" s="1"/>
    </row>
    <row r="96" spans="1:13">
      <c r="A96" s="1"/>
      <c r="B96" s="1"/>
      <c r="C96" s="1"/>
      <c r="D96" s="1"/>
      <c r="E96" s="1"/>
      <c r="F96" s="2"/>
      <c r="G96" s="1"/>
      <c r="H96" s="1"/>
      <c r="I96" s="3"/>
      <c r="J96" s="1"/>
      <c r="K96" s="1"/>
      <c r="L96" s="1"/>
      <c r="M96" s="1"/>
    </row>
    <row r="97" spans="1:13">
      <c r="A97" s="1"/>
      <c r="B97" s="1"/>
      <c r="C97" s="1"/>
      <c r="D97" s="1"/>
      <c r="E97" s="1"/>
      <c r="F97" s="2"/>
      <c r="G97" s="1"/>
      <c r="H97" s="1"/>
      <c r="I97" s="3"/>
      <c r="J97" s="1"/>
      <c r="K97" s="1"/>
      <c r="L97" s="1"/>
      <c r="M97" s="1"/>
    </row>
    <row r="98" spans="1:13">
      <c r="A98" s="1"/>
      <c r="B98" s="1"/>
      <c r="C98" s="1"/>
      <c r="D98" s="1"/>
      <c r="E98" s="1"/>
      <c r="F98" s="2"/>
      <c r="G98" s="1"/>
      <c r="H98" s="1"/>
      <c r="I98" s="3"/>
      <c r="J98" s="1"/>
      <c r="K98" s="1"/>
      <c r="L98" s="1"/>
      <c r="M98" s="1"/>
    </row>
    <row r="99" spans="1:13">
      <c r="A99" s="1"/>
      <c r="B99" s="1"/>
      <c r="C99" s="1"/>
      <c r="D99" s="1"/>
      <c r="E99" s="1"/>
      <c r="F99" s="2"/>
      <c r="G99" s="1"/>
      <c r="H99" s="1"/>
      <c r="I99" s="3"/>
      <c r="J99" s="1"/>
      <c r="K99" s="1"/>
      <c r="L99" s="1"/>
      <c r="M99" s="1"/>
    </row>
    <row r="100" spans="1:13">
      <c r="A100" s="1"/>
      <c r="B100" s="1"/>
      <c r="C100" s="1"/>
      <c r="D100" s="1"/>
      <c r="E100" s="1"/>
      <c r="F100" s="2"/>
      <c r="G100" s="1"/>
      <c r="H100" s="1"/>
      <c r="I100" s="3"/>
      <c r="J100" s="1"/>
      <c r="K100" s="1"/>
      <c r="L100" s="1"/>
      <c r="M100" s="1"/>
    </row>
    <row r="101" spans="1:13">
      <c r="A101" s="1"/>
      <c r="B101" s="1"/>
      <c r="C101" s="1"/>
      <c r="D101" s="1"/>
      <c r="E101" s="1"/>
      <c r="F101" s="2"/>
      <c r="G101" s="1"/>
      <c r="H101" s="1"/>
      <c r="I101" s="3"/>
      <c r="J101" s="1"/>
      <c r="K101" s="1"/>
      <c r="L101" s="1"/>
      <c r="M101" s="1"/>
    </row>
    <row r="102" spans="1:13">
      <c r="A102" s="1"/>
      <c r="B102" s="1"/>
      <c r="C102" s="1"/>
      <c r="D102" s="1"/>
      <c r="E102" s="1"/>
      <c r="F102" s="2"/>
      <c r="G102" s="1"/>
      <c r="H102" s="1"/>
      <c r="I102" s="3"/>
      <c r="J102" s="1"/>
      <c r="K102" s="1"/>
      <c r="L102" s="1"/>
      <c r="M102" s="1"/>
    </row>
    <row r="103" spans="1:13">
      <c r="A103" s="1"/>
      <c r="B103" s="1"/>
      <c r="C103" s="1"/>
      <c r="D103" s="1"/>
      <c r="E103" s="1"/>
      <c r="F103" s="2"/>
      <c r="G103" s="1"/>
      <c r="H103" s="1"/>
      <c r="I103" s="3"/>
      <c r="J103" s="1"/>
      <c r="K103" s="1"/>
      <c r="L103" s="1"/>
      <c r="M103" s="1"/>
    </row>
    <row r="104" spans="1:13">
      <c r="A104" s="1"/>
      <c r="B104" s="1"/>
      <c r="C104" s="1"/>
      <c r="D104" s="1"/>
      <c r="E104" s="1"/>
      <c r="F104" s="2"/>
      <c r="G104" s="1"/>
      <c r="H104" s="1"/>
      <c r="I104" s="3"/>
      <c r="J104" s="1"/>
      <c r="K104" s="1"/>
      <c r="L104" s="1"/>
      <c r="M104" s="1"/>
    </row>
    <row r="105" spans="1:13">
      <c r="A105" s="1"/>
      <c r="B105" s="1"/>
      <c r="C105" s="1"/>
      <c r="D105" s="1"/>
      <c r="E105" s="1"/>
      <c r="F105" s="2"/>
      <c r="G105" s="1"/>
      <c r="H105" s="1"/>
      <c r="I105" s="3"/>
      <c r="J105" s="1"/>
      <c r="K105" s="1"/>
      <c r="L105" s="1"/>
      <c r="M105" s="1"/>
    </row>
    <row r="106" spans="1:13">
      <c r="A106" s="1"/>
      <c r="B106" s="1"/>
      <c r="C106" s="1"/>
      <c r="D106" s="1"/>
      <c r="E106" s="1"/>
      <c r="F106" s="2"/>
      <c r="G106" s="1"/>
      <c r="H106" s="1"/>
      <c r="I106" s="3"/>
      <c r="J106" s="1"/>
      <c r="K106" s="1"/>
      <c r="L106" s="1"/>
      <c r="M106" s="1"/>
    </row>
    <row r="107" spans="1:13">
      <c r="A107" s="1"/>
      <c r="B107" s="1"/>
      <c r="C107" s="1"/>
      <c r="D107" s="1"/>
      <c r="E107" s="1"/>
      <c r="F107" s="2"/>
      <c r="G107" s="1"/>
      <c r="H107" s="1"/>
      <c r="I107" s="3"/>
      <c r="J107" s="1"/>
      <c r="K107" s="1"/>
      <c r="L107" s="1"/>
      <c r="M107" s="1"/>
    </row>
    <row r="108" spans="1:13">
      <c r="A108" s="1"/>
      <c r="B108" s="1"/>
      <c r="C108" s="1"/>
      <c r="D108" s="1"/>
      <c r="E108" s="1"/>
      <c r="F108" s="2"/>
      <c r="G108" s="1"/>
      <c r="H108" s="1"/>
      <c r="I108" s="3"/>
      <c r="J108" s="1"/>
      <c r="K108" s="1"/>
      <c r="L108" s="1"/>
      <c r="M108" s="1"/>
    </row>
    <row r="109" spans="1:13">
      <c r="A109" s="1"/>
      <c r="B109" s="1"/>
      <c r="C109" s="1"/>
      <c r="D109" s="1"/>
      <c r="E109" s="1"/>
      <c r="F109" s="2"/>
      <c r="G109" s="1"/>
      <c r="H109" s="1"/>
      <c r="I109" s="3"/>
      <c r="J109" s="1"/>
      <c r="K109" s="1"/>
      <c r="L109" s="1"/>
      <c r="M109" s="1"/>
    </row>
    <row r="110" spans="1:13">
      <c r="A110" s="1"/>
      <c r="B110" s="1"/>
      <c r="C110" s="1"/>
      <c r="D110" s="1"/>
      <c r="E110" s="1"/>
      <c r="F110" s="2"/>
      <c r="G110" s="1"/>
      <c r="H110" s="1"/>
      <c r="I110" s="3"/>
      <c r="J110" s="1"/>
      <c r="K110" s="1"/>
      <c r="L110" s="1"/>
      <c r="M110" s="1"/>
    </row>
    <row r="111" spans="1:13">
      <c r="A111" s="1"/>
      <c r="B111" s="1"/>
      <c r="C111" s="1"/>
      <c r="D111" s="1"/>
      <c r="E111" s="1"/>
      <c r="F111" s="2"/>
      <c r="G111" s="1"/>
      <c r="H111" s="1"/>
      <c r="I111" s="3"/>
      <c r="J111" s="1"/>
      <c r="K111" s="1"/>
      <c r="L111" s="1"/>
      <c r="M111" s="1"/>
    </row>
    <row r="112" spans="1:13">
      <c r="A112" s="1"/>
      <c r="B112" s="1"/>
      <c r="C112" s="1"/>
      <c r="D112" s="1"/>
      <c r="E112" s="1"/>
      <c r="F112" s="2"/>
      <c r="G112" s="1"/>
      <c r="H112" s="1"/>
      <c r="I112" s="3"/>
      <c r="J112" s="1"/>
      <c r="K112" s="1"/>
      <c r="L112" s="1"/>
      <c r="M112" s="1"/>
    </row>
    <row r="113" spans="1:13">
      <c r="A113" s="1"/>
      <c r="B113" s="1"/>
      <c r="C113" s="1"/>
      <c r="D113" s="1"/>
      <c r="E113" s="1"/>
      <c r="F113" s="2"/>
      <c r="G113" s="1"/>
      <c r="H113" s="1"/>
      <c r="I113" s="3"/>
      <c r="J113" s="1"/>
      <c r="K113" s="1"/>
      <c r="L113" s="1"/>
      <c r="M113" s="1"/>
    </row>
    <row r="114" spans="1:13">
      <c r="A114" s="1"/>
      <c r="B114" s="1"/>
      <c r="C114" s="1"/>
      <c r="D114" s="1"/>
      <c r="E114" s="1"/>
      <c r="F114" s="2"/>
      <c r="G114" s="1"/>
      <c r="H114" s="1"/>
      <c r="I114" s="3"/>
      <c r="J114" s="1"/>
      <c r="K114" s="1"/>
      <c r="L114" s="1"/>
      <c r="M114" s="1"/>
    </row>
    <row r="115" spans="1:13">
      <c r="A115" s="1"/>
      <c r="B115" s="1"/>
      <c r="C115" s="1"/>
      <c r="D115" s="1"/>
      <c r="E115" s="1"/>
      <c r="F115" s="2"/>
      <c r="G115" s="1"/>
      <c r="H115" s="1"/>
      <c r="I115" s="3"/>
      <c r="J115" s="1"/>
      <c r="K115" s="1"/>
      <c r="L115" s="1"/>
      <c r="M115" s="1"/>
    </row>
    <row r="116" spans="1:13">
      <c r="A116" s="1"/>
      <c r="B116" s="1"/>
      <c r="C116" s="1"/>
      <c r="D116" s="1"/>
      <c r="E116" s="1"/>
      <c r="F116" s="2"/>
      <c r="G116" s="1"/>
      <c r="H116" s="1"/>
      <c r="I116" s="3"/>
      <c r="J116" s="1"/>
      <c r="K116" s="1"/>
      <c r="L116" s="1"/>
      <c r="M116" s="1"/>
    </row>
    <row r="117" spans="1:13">
      <c r="A117" s="1"/>
      <c r="B117" s="1"/>
      <c r="C117" s="1"/>
      <c r="D117" s="1"/>
      <c r="E117" s="1"/>
      <c r="F117" s="2"/>
      <c r="G117" s="1"/>
      <c r="H117" s="1"/>
      <c r="I117" s="3"/>
      <c r="J117" s="1"/>
      <c r="K117" s="1"/>
      <c r="L117" s="1"/>
      <c r="M117" s="1"/>
    </row>
    <row r="118" spans="1:13">
      <c r="A118" s="1"/>
      <c r="B118" s="1"/>
      <c r="C118" s="1"/>
      <c r="D118" s="1"/>
      <c r="E118" s="1"/>
      <c r="F118" s="2"/>
      <c r="G118" s="1"/>
      <c r="H118" s="1"/>
      <c r="I118" s="3"/>
      <c r="J118" s="1"/>
      <c r="K118" s="1"/>
      <c r="L118" s="1"/>
      <c r="M118" s="1"/>
    </row>
    <row r="119" spans="1:13">
      <c r="A119" s="1"/>
      <c r="B119" s="1"/>
      <c r="C119" s="1"/>
      <c r="D119" s="1"/>
      <c r="E119" s="1"/>
      <c r="F119" s="2"/>
      <c r="G119" s="1"/>
      <c r="H119" s="1"/>
      <c r="I119" s="3"/>
      <c r="J119" s="1"/>
      <c r="K119" s="1"/>
      <c r="L119" s="1"/>
      <c r="M119" s="1"/>
    </row>
    <row r="120" spans="1:13">
      <c r="A120" s="1"/>
      <c r="B120" s="1"/>
      <c r="C120" s="1"/>
      <c r="D120" s="1"/>
      <c r="E120" s="1"/>
      <c r="F120" s="2"/>
      <c r="G120" s="1"/>
      <c r="H120" s="1"/>
      <c r="I120" s="3"/>
      <c r="J120" s="1"/>
      <c r="K120" s="1"/>
      <c r="L120" s="1"/>
      <c r="M120" s="1"/>
    </row>
    <row r="121" spans="1:13">
      <c r="A121" s="1"/>
      <c r="B121" s="1"/>
      <c r="C121" s="1"/>
      <c r="D121" s="1"/>
      <c r="E121" s="1"/>
      <c r="F121" s="2"/>
      <c r="G121" s="1"/>
      <c r="H121" s="1"/>
      <c r="I121" s="3"/>
      <c r="J121" s="1"/>
      <c r="K121" s="1"/>
      <c r="L121" s="1"/>
      <c r="M121" s="1"/>
    </row>
    <row r="122" spans="1:13">
      <c r="A122" s="1"/>
      <c r="B122" s="1"/>
      <c r="C122" s="1"/>
      <c r="D122" s="1"/>
      <c r="E122" s="1"/>
      <c r="F122" s="2"/>
      <c r="G122" s="1"/>
      <c r="H122" s="1"/>
      <c r="I122" s="3"/>
      <c r="J122" s="1"/>
      <c r="K122" s="1"/>
      <c r="L122" s="1"/>
      <c r="M122" s="1"/>
    </row>
    <row r="123" spans="1:13">
      <c r="A123" s="1"/>
      <c r="B123" s="1"/>
      <c r="C123" s="1"/>
      <c r="D123" s="1"/>
      <c r="E123" s="1"/>
      <c r="F123" s="2"/>
      <c r="G123" s="1"/>
      <c r="H123" s="1"/>
      <c r="I123" s="3"/>
      <c r="J123" s="1"/>
      <c r="K123" s="1"/>
      <c r="L123" s="1"/>
      <c r="M123" s="1"/>
    </row>
    <row r="124" spans="1:13">
      <c r="A124" s="1"/>
      <c r="B124" s="1"/>
      <c r="C124" s="1"/>
      <c r="D124" s="1"/>
      <c r="E124" s="1"/>
      <c r="F124" s="2"/>
      <c r="G124" s="1"/>
      <c r="H124" s="1"/>
      <c r="I124" s="3"/>
      <c r="J124" s="1"/>
      <c r="K124" s="1"/>
      <c r="L124" s="1"/>
      <c r="M124" s="1"/>
    </row>
    <row r="125" spans="1:13">
      <c r="A125" s="1"/>
      <c r="B125" s="1"/>
      <c r="C125" s="1"/>
      <c r="D125" s="1"/>
      <c r="E125" s="1"/>
      <c r="F125" s="2"/>
      <c r="G125" s="1"/>
      <c r="H125" s="1"/>
      <c r="I125" s="3"/>
      <c r="J125" s="1"/>
      <c r="K125" s="1"/>
      <c r="L125" s="1"/>
      <c r="M125" s="1"/>
    </row>
    <row r="126" spans="1:13">
      <c r="A126" s="1"/>
      <c r="B126" s="1"/>
      <c r="C126" s="1"/>
      <c r="D126" s="1"/>
      <c r="E126" s="1"/>
      <c r="F126" s="2"/>
      <c r="G126" s="1"/>
      <c r="H126" s="1"/>
      <c r="I126" s="3"/>
      <c r="J126" s="1"/>
      <c r="K126" s="1"/>
      <c r="L126" s="1"/>
      <c r="M126" s="1"/>
    </row>
    <row r="127" spans="1:13">
      <c r="A127" s="1"/>
      <c r="B127" s="1"/>
      <c r="C127" s="1"/>
      <c r="D127" s="1"/>
      <c r="E127" s="1"/>
      <c r="F127" s="2"/>
      <c r="G127" s="1"/>
      <c r="H127" s="1"/>
      <c r="I127" s="3"/>
      <c r="J127" s="1"/>
      <c r="K127" s="1"/>
      <c r="L127" s="1"/>
      <c r="M127" s="1"/>
    </row>
    <row r="128" spans="1:13">
      <c r="A128" s="1"/>
      <c r="B128" s="1"/>
      <c r="C128" s="1"/>
      <c r="D128" s="1"/>
      <c r="E128" s="1"/>
      <c r="F128" s="2"/>
      <c r="G128" s="1"/>
      <c r="H128" s="1"/>
      <c r="I128" s="3"/>
      <c r="J128" s="1"/>
      <c r="K128" s="1"/>
      <c r="L128" s="1"/>
      <c r="M128" s="1"/>
    </row>
    <row r="129" spans="1:13">
      <c r="A129" s="1"/>
      <c r="B129" s="1"/>
      <c r="C129" s="1"/>
      <c r="D129" s="1"/>
      <c r="E129" s="1"/>
      <c r="F129" s="2"/>
      <c r="G129" s="1"/>
      <c r="H129" s="1"/>
      <c r="I129" s="3"/>
      <c r="J129" s="1"/>
      <c r="K129" s="1"/>
      <c r="L129" s="1"/>
      <c r="M129" s="1"/>
    </row>
    <row r="130" spans="1:13">
      <c r="A130" s="1"/>
      <c r="B130" s="1"/>
      <c r="C130" s="1"/>
      <c r="D130" s="1"/>
      <c r="E130" s="1"/>
      <c r="F130" s="2"/>
      <c r="G130" s="1"/>
      <c r="H130" s="1"/>
      <c r="I130" s="3"/>
      <c r="J130" s="1"/>
      <c r="K130" s="1"/>
      <c r="L130" s="1"/>
      <c r="M130" s="1"/>
    </row>
    <row r="131" spans="1:13">
      <c r="A131" s="1"/>
      <c r="B131" s="1"/>
      <c r="C131" s="1"/>
      <c r="D131" s="1"/>
      <c r="E131" s="1"/>
      <c r="F131" s="2"/>
      <c r="G131" s="1"/>
      <c r="H131" s="1"/>
      <c r="I131" s="3"/>
      <c r="J131" s="1"/>
      <c r="K131" s="1"/>
      <c r="L131" s="1"/>
      <c r="M131" s="1"/>
    </row>
    <row r="132" spans="1:13">
      <c r="A132" s="1"/>
      <c r="B132" s="1"/>
      <c r="C132" s="1"/>
      <c r="D132" s="1"/>
      <c r="E132" s="1"/>
      <c r="F132" s="2"/>
      <c r="G132" s="1"/>
      <c r="H132" s="1"/>
      <c r="I132" s="3"/>
      <c r="J132" s="1"/>
      <c r="K132" s="1"/>
      <c r="L132" s="1"/>
      <c r="M132" s="1"/>
    </row>
    <row r="133" spans="1:13">
      <c r="A133" s="1"/>
      <c r="B133" s="1"/>
      <c r="C133" s="1"/>
      <c r="D133" s="1"/>
      <c r="E133" s="1"/>
      <c r="F133" s="2"/>
      <c r="G133" s="1"/>
      <c r="H133" s="1"/>
      <c r="I133" s="3"/>
      <c r="J133" s="1"/>
      <c r="K133" s="1"/>
      <c r="L133" s="1"/>
      <c r="M133" s="1"/>
    </row>
    <row r="134" spans="1:13">
      <c r="A134" s="1"/>
      <c r="B134" s="1"/>
      <c r="C134" s="1"/>
      <c r="D134" s="1"/>
      <c r="E134" s="1"/>
      <c r="F134" s="2"/>
      <c r="G134" s="1"/>
      <c r="H134" s="1"/>
      <c r="I134" s="3"/>
      <c r="J134" s="1"/>
      <c r="K134" s="1"/>
      <c r="L134" s="1"/>
      <c r="M134" s="1"/>
    </row>
    <row r="135" spans="1:13">
      <c r="A135" s="1"/>
      <c r="B135" s="1"/>
      <c r="C135" s="1"/>
      <c r="D135" s="1"/>
      <c r="E135" s="1"/>
      <c r="F135" s="2"/>
      <c r="G135" s="1"/>
      <c r="H135" s="1"/>
      <c r="I135" s="3"/>
      <c r="J135" s="1"/>
      <c r="K135" s="1"/>
      <c r="L135" s="1"/>
      <c r="M135" s="1"/>
    </row>
    <row r="136" spans="1:13">
      <c r="A136" s="1"/>
      <c r="B136" s="1"/>
      <c r="C136" s="1"/>
      <c r="D136" s="1"/>
      <c r="E136" s="1"/>
      <c r="F136" s="2"/>
      <c r="G136" s="1"/>
      <c r="H136" s="1"/>
      <c r="I136" s="3"/>
      <c r="J136" s="1"/>
      <c r="K136" s="1"/>
      <c r="L136" s="1"/>
      <c r="M136" s="1"/>
    </row>
    <row r="137" spans="1:13">
      <c r="A137" s="1"/>
      <c r="B137" s="1"/>
      <c r="C137" s="1"/>
      <c r="D137" s="1"/>
      <c r="E137" s="1"/>
      <c r="F137" s="2"/>
      <c r="G137" s="1"/>
      <c r="H137" s="1"/>
      <c r="I137" s="3"/>
      <c r="J137" s="1"/>
      <c r="K137" s="1"/>
      <c r="L137" s="1"/>
      <c r="M137" s="1"/>
    </row>
    <row r="138" spans="1:13">
      <c r="A138" s="1"/>
      <c r="B138" s="1"/>
      <c r="C138" s="1"/>
      <c r="D138" s="1"/>
      <c r="E138" s="1"/>
      <c r="F138" s="2"/>
      <c r="G138" s="1"/>
      <c r="H138" s="1"/>
      <c r="I138" s="3"/>
      <c r="J138" s="1"/>
      <c r="K138" s="1"/>
      <c r="L138" s="1"/>
      <c r="M138" s="1"/>
    </row>
    <row r="139" spans="1:13">
      <c r="A139" s="1"/>
      <c r="B139" s="1"/>
      <c r="C139" s="1"/>
      <c r="D139" s="1"/>
      <c r="E139" s="1"/>
      <c r="F139" s="2"/>
      <c r="G139" s="1"/>
      <c r="H139" s="1"/>
      <c r="I139" s="3"/>
      <c r="J139" s="1"/>
      <c r="K139" s="1"/>
      <c r="L139" s="1"/>
      <c r="M139" s="1"/>
    </row>
    <row r="140" spans="1:13">
      <c r="A140" s="1"/>
      <c r="B140" s="1"/>
      <c r="C140" s="1"/>
      <c r="D140" s="1"/>
      <c r="E140" s="1"/>
      <c r="F140" s="2"/>
      <c r="G140" s="1"/>
      <c r="H140" s="1"/>
      <c r="I140" s="3"/>
      <c r="J140" s="1"/>
      <c r="K140" s="1"/>
      <c r="L140" s="1"/>
      <c r="M140" s="1"/>
    </row>
    <row r="141" spans="1:13">
      <c r="A141" s="1"/>
      <c r="B141" s="1"/>
      <c r="C141" s="1"/>
      <c r="D141" s="1"/>
      <c r="E141" s="1"/>
      <c r="F141" s="2"/>
      <c r="G141" s="1"/>
      <c r="H141" s="1"/>
      <c r="I141" s="3"/>
      <c r="J141" s="1"/>
      <c r="K141" s="1"/>
      <c r="L141" s="1"/>
      <c r="M141" s="1"/>
    </row>
    <row r="142" spans="1:13">
      <c r="A142" s="1"/>
      <c r="B142" s="1"/>
      <c r="C142" s="1"/>
      <c r="D142" s="1"/>
      <c r="E142" s="1"/>
      <c r="F142" s="2"/>
      <c r="G142" s="1"/>
      <c r="H142" s="1"/>
      <c r="I142" s="3"/>
      <c r="J142" s="1"/>
      <c r="K142" s="1"/>
      <c r="L142" s="1"/>
      <c r="M142" s="1"/>
    </row>
    <row r="143" spans="1:13">
      <c r="A143" s="1"/>
      <c r="B143" s="1"/>
      <c r="C143" s="1"/>
      <c r="D143" s="1"/>
      <c r="E143" s="1"/>
      <c r="F143" s="2"/>
      <c r="G143" s="1"/>
      <c r="H143" s="1"/>
      <c r="I143" s="3"/>
      <c r="J143" s="1"/>
      <c r="K143" s="1"/>
      <c r="L143" s="1"/>
      <c r="M143" s="1"/>
    </row>
    <row r="144" spans="1:13">
      <c r="A144" s="1"/>
      <c r="B144" s="1"/>
      <c r="C144" s="1"/>
      <c r="D144" s="1"/>
      <c r="E144" s="1"/>
      <c r="F144" s="2"/>
      <c r="G144" s="1"/>
      <c r="H144" s="1"/>
      <c r="I144" s="3"/>
      <c r="J144" s="1"/>
      <c r="K144" s="1"/>
      <c r="L144" s="1"/>
      <c r="M144" s="1"/>
    </row>
    <row r="145" spans="1:13">
      <c r="A145" s="1"/>
      <c r="B145" s="1"/>
      <c r="C145" s="1"/>
      <c r="D145" s="1"/>
      <c r="E145" s="1"/>
      <c r="F145" s="2"/>
      <c r="G145" s="1"/>
      <c r="H145" s="1"/>
      <c r="I145" s="3"/>
      <c r="J145" s="1"/>
      <c r="K145" s="1"/>
      <c r="L145" s="1"/>
      <c r="M145" s="1"/>
    </row>
    <row r="146" spans="1:13">
      <c r="A146" s="1"/>
      <c r="B146" s="1"/>
      <c r="C146" s="1"/>
      <c r="D146" s="1"/>
      <c r="E146" s="1"/>
      <c r="F146" s="2"/>
      <c r="G146" s="1"/>
      <c r="H146" s="1"/>
      <c r="I146" s="3"/>
      <c r="J146" s="1"/>
      <c r="K146" s="1"/>
      <c r="L146" s="1"/>
      <c r="M146" s="1"/>
    </row>
    <row r="147" spans="1:13">
      <c r="A147" s="1"/>
      <c r="B147" s="1"/>
      <c r="C147" s="1"/>
      <c r="D147" s="1"/>
      <c r="E147" s="1"/>
      <c r="F147" s="2"/>
      <c r="G147" s="1"/>
      <c r="H147" s="1"/>
      <c r="I147" s="3"/>
      <c r="J147" s="1"/>
      <c r="K147" s="1"/>
      <c r="L147" s="1"/>
      <c r="M147" s="1"/>
    </row>
    <row r="148" spans="1:13">
      <c r="A148" s="1"/>
      <c r="B148" s="1"/>
      <c r="C148" s="1"/>
      <c r="D148" s="1"/>
      <c r="E148" s="1"/>
      <c r="F148" s="2"/>
      <c r="G148" s="1"/>
      <c r="H148" s="1"/>
      <c r="I148" s="3"/>
      <c r="J148" s="1"/>
      <c r="K148" s="1"/>
      <c r="L148" s="1"/>
      <c r="M148" s="1"/>
    </row>
    <row r="149" spans="1:13">
      <c r="A149" s="1"/>
      <c r="B149" s="1"/>
      <c r="C149" s="1"/>
      <c r="D149" s="1"/>
      <c r="E149" s="1"/>
      <c r="F149" s="2"/>
      <c r="G149" s="1"/>
      <c r="H149" s="1"/>
      <c r="I149" s="3"/>
      <c r="J149" s="1"/>
      <c r="K149" s="1"/>
      <c r="L149" s="1"/>
      <c r="M149" s="1"/>
    </row>
    <row r="150" spans="1:13">
      <c r="A150" s="1"/>
      <c r="B150" s="1"/>
      <c r="C150" s="1"/>
      <c r="D150" s="1"/>
      <c r="E150" s="1"/>
      <c r="F150" s="2"/>
      <c r="G150" s="1"/>
      <c r="H150" s="1"/>
      <c r="I150" s="3"/>
      <c r="J150" s="1"/>
      <c r="K150" s="1"/>
      <c r="L150" s="1"/>
      <c r="M150" s="1"/>
    </row>
    <row r="151" spans="1:13">
      <c r="A151" s="1"/>
      <c r="B151" s="1"/>
      <c r="C151" s="1"/>
      <c r="D151" s="1"/>
      <c r="E151" s="1"/>
      <c r="F151" s="2"/>
      <c r="G151" s="1"/>
      <c r="H151" s="1"/>
      <c r="I151" s="3"/>
      <c r="J151" s="1"/>
      <c r="K151" s="1"/>
      <c r="L151" s="1"/>
      <c r="M151" s="1"/>
    </row>
    <row r="152" spans="1:13">
      <c r="A152" s="1"/>
      <c r="B152" s="1"/>
      <c r="C152" s="1"/>
      <c r="D152" s="1"/>
      <c r="E152" s="1"/>
      <c r="F152" s="2"/>
      <c r="G152" s="1"/>
      <c r="H152" s="1"/>
      <c r="I152" s="3"/>
      <c r="J152" s="1"/>
      <c r="K152" s="1"/>
      <c r="L152" s="1"/>
      <c r="M152" s="1"/>
    </row>
    <row r="153" spans="1:13">
      <c r="A153" s="1"/>
      <c r="B153" s="1"/>
      <c r="C153" s="1"/>
      <c r="D153" s="1"/>
      <c r="E153" s="1"/>
      <c r="F153" s="2"/>
      <c r="G153" s="1"/>
      <c r="H153" s="1"/>
      <c r="I153" s="3"/>
      <c r="J153" s="1"/>
      <c r="K153" s="1"/>
      <c r="L153" s="1"/>
      <c r="M153" s="1"/>
    </row>
    <row r="154" spans="1:13">
      <c r="A154" s="1"/>
      <c r="B154" s="1"/>
      <c r="C154" s="1"/>
      <c r="D154" s="1"/>
      <c r="E154" s="1"/>
      <c r="F154" s="2"/>
      <c r="G154" s="1"/>
      <c r="H154" s="1"/>
      <c r="I154" s="3"/>
      <c r="J154" s="1"/>
      <c r="K154" s="1"/>
      <c r="L154" s="1"/>
      <c r="M154" s="1"/>
    </row>
    <row r="155" spans="1:13">
      <c r="A155" s="1"/>
      <c r="B155" s="1"/>
      <c r="C155" s="1"/>
      <c r="D155" s="1"/>
      <c r="E155" s="1"/>
      <c r="F155" s="2"/>
      <c r="G155" s="1"/>
      <c r="H155" s="1"/>
      <c r="I155" s="3"/>
      <c r="J155" s="1"/>
      <c r="K155" s="1"/>
      <c r="L155" s="1"/>
      <c r="M155" s="1"/>
    </row>
    <row r="156" spans="1:13">
      <c r="A156" s="1"/>
      <c r="B156" s="1"/>
      <c r="C156" s="1"/>
      <c r="D156" s="1"/>
      <c r="E156" s="1"/>
      <c r="F156" s="2"/>
      <c r="G156" s="1"/>
      <c r="H156" s="1"/>
      <c r="I156" s="3"/>
      <c r="J156" s="1"/>
      <c r="K156" s="1"/>
      <c r="L156" s="1"/>
      <c r="M156" s="1"/>
    </row>
    <row r="157" spans="1:13">
      <c r="A157" s="1"/>
      <c r="B157" s="1"/>
      <c r="C157" s="1"/>
      <c r="D157" s="1"/>
      <c r="E157" s="1"/>
      <c r="F157" s="2"/>
      <c r="G157" s="1"/>
      <c r="H157" s="1"/>
      <c r="I157" s="3"/>
      <c r="J157" s="1"/>
      <c r="K157" s="1"/>
      <c r="L157" s="1"/>
      <c r="M157" s="1"/>
    </row>
    <row r="158" spans="1:13">
      <c r="A158" s="1"/>
      <c r="B158" s="1"/>
      <c r="C158" s="1"/>
      <c r="D158" s="1"/>
      <c r="E158" s="1"/>
      <c r="F158" s="2"/>
      <c r="G158" s="1"/>
      <c r="H158" s="1"/>
      <c r="I158" s="3"/>
      <c r="J158" s="1"/>
      <c r="K158" s="1"/>
      <c r="L158" s="1"/>
      <c r="M158" s="1"/>
    </row>
    <row r="159" spans="1:13">
      <c r="A159" s="1"/>
      <c r="B159" s="1"/>
      <c r="C159" s="1"/>
      <c r="D159" s="1"/>
      <c r="E159" s="1"/>
      <c r="F159" s="2"/>
      <c r="G159" s="1"/>
      <c r="H159" s="1"/>
      <c r="I159" s="3"/>
      <c r="J159" s="1"/>
      <c r="K159" s="1"/>
      <c r="L159" s="1"/>
      <c r="M159" s="1"/>
    </row>
    <row r="160" spans="1:13">
      <c r="A160" s="1"/>
      <c r="B160" s="1"/>
      <c r="C160" s="1"/>
      <c r="D160" s="1"/>
      <c r="E160" s="1"/>
      <c r="F160" s="2"/>
      <c r="G160" s="1"/>
      <c r="H160" s="1"/>
      <c r="I160" s="3"/>
      <c r="J160" s="1"/>
      <c r="K160" s="1"/>
      <c r="L160" s="1"/>
      <c r="M160" s="1"/>
    </row>
    <row r="161" spans="1:13">
      <c r="A161" s="1"/>
      <c r="B161" s="1"/>
      <c r="C161" s="1"/>
      <c r="D161" s="1"/>
      <c r="E161" s="1"/>
      <c r="F161" s="2"/>
      <c r="G161" s="1"/>
      <c r="H161" s="1"/>
      <c r="I161" s="3"/>
      <c r="J161" s="1"/>
      <c r="K161" s="1"/>
      <c r="L161" s="1"/>
      <c r="M161" s="1"/>
    </row>
    <row r="162" spans="1:13">
      <c r="A162" s="1"/>
      <c r="B162" s="1"/>
      <c r="C162" s="1"/>
      <c r="D162" s="1"/>
      <c r="E162" s="1"/>
      <c r="F162" s="2"/>
      <c r="G162" s="1"/>
      <c r="H162" s="1"/>
      <c r="I162" s="3"/>
      <c r="J162" s="1"/>
      <c r="K162" s="1"/>
      <c r="L162" s="1"/>
      <c r="M162" s="1"/>
    </row>
    <row r="163" spans="1:13">
      <c r="A163" s="1"/>
      <c r="B163" s="1"/>
      <c r="C163" s="1"/>
      <c r="D163" s="1"/>
      <c r="E163" s="1"/>
      <c r="F163" s="2"/>
      <c r="G163" s="1"/>
      <c r="H163" s="1"/>
      <c r="I163" s="3"/>
      <c r="J163" s="1"/>
      <c r="K163" s="1"/>
      <c r="L163" s="1"/>
      <c r="M163" s="1"/>
    </row>
    <row r="164" spans="1:13">
      <c r="A164" s="1"/>
      <c r="B164" s="1"/>
      <c r="C164" s="1"/>
      <c r="D164" s="1"/>
      <c r="E164" s="1"/>
      <c r="F164" s="2"/>
      <c r="G164" s="1"/>
      <c r="H164" s="1"/>
      <c r="I164" s="3"/>
      <c r="J164" s="1"/>
      <c r="K164" s="1"/>
      <c r="L164" s="1"/>
      <c r="M164" s="1"/>
    </row>
    <row r="165" spans="1:13">
      <c r="A165" s="1"/>
      <c r="B165" s="1"/>
      <c r="C165" s="1"/>
      <c r="D165" s="1"/>
      <c r="E165" s="1"/>
      <c r="F165" s="2"/>
      <c r="G165" s="1"/>
      <c r="H165" s="1"/>
      <c r="I165" s="3"/>
      <c r="J165" s="1"/>
      <c r="K165" s="1"/>
      <c r="L165" s="1"/>
      <c r="M165" s="1"/>
    </row>
    <row r="166" spans="1:13">
      <c r="A166" s="1"/>
      <c r="B166" s="1"/>
      <c r="C166" s="1"/>
      <c r="D166" s="1"/>
      <c r="E166" s="1"/>
      <c r="F166" s="2"/>
      <c r="G166" s="1"/>
      <c r="H166" s="1"/>
      <c r="I166" s="3"/>
      <c r="J166" s="1"/>
      <c r="K166" s="1"/>
      <c r="L166" s="1"/>
      <c r="M166" s="1"/>
    </row>
    <row r="167" spans="1:13">
      <c r="A167" s="1"/>
      <c r="B167" s="1"/>
      <c r="C167" s="1"/>
      <c r="D167" s="1"/>
      <c r="E167" s="1"/>
      <c r="F167" s="2"/>
      <c r="G167" s="1"/>
      <c r="H167" s="1"/>
      <c r="I167" s="3"/>
      <c r="J167" s="1"/>
      <c r="K167" s="1"/>
      <c r="L167" s="1"/>
      <c r="M167" s="1"/>
    </row>
    <row r="168" spans="1:13">
      <c r="A168" s="1"/>
      <c r="B168" s="1"/>
      <c r="C168" s="1"/>
      <c r="D168" s="1"/>
      <c r="E168" s="1"/>
      <c r="F168" s="2"/>
      <c r="G168" s="1"/>
      <c r="H168" s="1"/>
      <c r="I168" s="3"/>
      <c r="J168" s="1"/>
      <c r="K168" s="1"/>
      <c r="L168" s="1"/>
      <c r="M168" s="1"/>
    </row>
    <row r="169" spans="1:13">
      <c r="A169" s="1"/>
      <c r="B169" s="1"/>
      <c r="C169" s="1"/>
      <c r="D169" s="1"/>
      <c r="E169" s="1"/>
      <c r="F169" s="2"/>
      <c r="G169" s="1"/>
      <c r="H169" s="1"/>
      <c r="I169" s="3"/>
      <c r="J169" s="1"/>
      <c r="K169" s="1"/>
      <c r="L169" s="1"/>
      <c r="M169" s="1"/>
    </row>
    <row r="170" spans="1:13">
      <c r="A170" s="1"/>
      <c r="B170" s="1"/>
      <c r="C170" s="1"/>
      <c r="D170" s="1"/>
      <c r="E170" s="1"/>
      <c r="F170" s="2"/>
      <c r="G170" s="1"/>
      <c r="H170" s="1"/>
      <c r="I170" s="3"/>
      <c r="J170" s="1"/>
      <c r="K170" s="1"/>
      <c r="L170" s="1"/>
      <c r="M170" s="1"/>
    </row>
    <row r="171" spans="1:13">
      <c r="A171" s="1"/>
      <c r="B171" s="1"/>
      <c r="C171" s="1"/>
      <c r="D171" s="1"/>
      <c r="E171" s="1"/>
      <c r="F171" s="2"/>
      <c r="G171" s="1"/>
      <c r="H171" s="1"/>
      <c r="I171" s="3"/>
      <c r="J171" s="1"/>
      <c r="K171" s="1"/>
      <c r="L171" s="1"/>
      <c r="M171" s="1"/>
    </row>
    <row r="172" spans="1:13">
      <c r="A172" s="1"/>
      <c r="B172" s="1"/>
      <c r="C172" s="1"/>
      <c r="D172" s="1"/>
      <c r="E172" s="1"/>
      <c r="F172" s="2"/>
      <c r="G172" s="1"/>
      <c r="H172" s="1"/>
      <c r="I172" s="3"/>
      <c r="J172" s="1"/>
      <c r="K172" s="1"/>
      <c r="L172" s="1"/>
      <c r="M172" s="1"/>
    </row>
    <row r="173" spans="1:13">
      <c r="A173" s="1"/>
      <c r="B173" s="1"/>
      <c r="C173" s="1"/>
      <c r="D173" s="1"/>
      <c r="E173" s="1"/>
      <c r="F173" s="2"/>
      <c r="G173" s="1"/>
      <c r="H173" s="1"/>
      <c r="I173" s="3"/>
      <c r="J173" s="1"/>
      <c r="K173" s="1"/>
      <c r="L173" s="1"/>
      <c r="M173" s="1"/>
    </row>
    <row r="174" spans="1:13">
      <c r="A174" s="1"/>
      <c r="B174" s="1"/>
      <c r="C174" s="1"/>
      <c r="D174" s="1"/>
      <c r="E174" s="1"/>
      <c r="F174" s="2"/>
      <c r="G174" s="1"/>
      <c r="H174" s="1"/>
      <c r="I174" s="3"/>
      <c r="J174" s="1"/>
      <c r="K174" s="1"/>
      <c r="L174" s="1"/>
      <c r="M174" s="1"/>
    </row>
    <row r="175" spans="1:13">
      <c r="A175" s="1"/>
      <c r="B175" s="1"/>
      <c r="C175" s="1"/>
      <c r="D175" s="1"/>
      <c r="E175" s="1"/>
      <c r="F175" s="2"/>
      <c r="G175" s="1"/>
      <c r="H175" s="1"/>
      <c r="I175" s="3"/>
      <c r="J175" s="1"/>
      <c r="K175" s="1"/>
      <c r="L175" s="1"/>
      <c r="M175" s="1"/>
    </row>
    <row r="176" spans="1:13">
      <c r="A176" s="1"/>
      <c r="B176" s="1"/>
      <c r="C176" s="1"/>
      <c r="D176" s="1"/>
      <c r="E176" s="1"/>
      <c r="F176" s="2"/>
      <c r="G176" s="1"/>
      <c r="H176" s="1"/>
      <c r="I176" s="3"/>
      <c r="J176" s="1"/>
      <c r="K176" s="1"/>
      <c r="L176" s="1"/>
      <c r="M176" s="1"/>
    </row>
    <row r="177" spans="1:13">
      <c r="A177" s="1"/>
      <c r="B177" s="1"/>
      <c r="C177" s="1"/>
      <c r="D177" s="1"/>
      <c r="E177" s="1"/>
      <c r="F177" s="2"/>
      <c r="G177" s="1"/>
      <c r="H177" s="1"/>
      <c r="I177" s="3"/>
      <c r="J177" s="1"/>
      <c r="K177" s="1"/>
      <c r="L177" s="1"/>
      <c r="M177" s="1"/>
    </row>
    <row r="178" spans="1:13">
      <c r="A178" s="1"/>
      <c r="B178" s="1"/>
      <c r="C178" s="1"/>
      <c r="D178" s="1"/>
      <c r="E178" s="1"/>
      <c r="F178" s="2"/>
      <c r="G178" s="1"/>
      <c r="H178" s="1"/>
      <c r="I178" s="3"/>
      <c r="J178" s="1"/>
      <c r="K178" s="1"/>
      <c r="L178" s="1"/>
      <c r="M178" s="1"/>
    </row>
    <row r="179" spans="1:13">
      <c r="A179" s="1"/>
      <c r="B179" s="1"/>
      <c r="C179" s="1"/>
      <c r="D179" s="1"/>
      <c r="E179" s="1"/>
      <c r="F179" s="2"/>
      <c r="G179" s="1"/>
      <c r="H179" s="1"/>
      <c r="I179" s="3"/>
      <c r="J179" s="1"/>
      <c r="K179" s="1"/>
      <c r="L179" s="1"/>
      <c r="M179" s="1"/>
    </row>
    <row r="180" spans="1:13">
      <c r="A180" s="1"/>
      <c r="B180" s="1"/>
      <c r="C180" s="1"/>
      <c r="D180" s="1"/>
      <c r="E180" s="1"/>
      <c r="F180" s="2"/>
      <c r="G180" s="1"/>
      <c r="H180" s="1"/>
      <c r="I180" s="3"/>
      <c r="J180" s="1"/>
      <c r="K180" s="1"/>
      <c r="L180" s="1"/>
      <c r="M180" s="1"/>
    </row>
    <row r="181" spans="1:13">
      <c r="A181" s="1"/>
      <c r="B181" s="1"/>
      <c r="C181" s="1"/>
      <c r="D181" s="1"/>
      <c r="E181" s="1"/>
      <c r="F181" s="2"/>
      <c r="G181" s="1"/>
      <c r="H181" s="1"/>
      <c r="I181" s="3"/>
      <c r="J181" s="1"/>
      <c r="K181" s="1"/>
      <c r="L181" s="1"/>
      <c r="M181" s="1"/>
    </row>
    <row r="182" spans="1:13">
      <c r="A182" s="1"/>
      <c r="B182" s="1"/>
      <c r="C182" s="1"/>
      <c r="D182" s="1"/>
      <c r="E182" s="1"/>
      <c r="F182" s="2"/>
      <c r="G182" s="1"/>
      <c r="H182" s="1"/>
      <c r="I182" s="3"/>
      <c r="J182" s="1"/>
      <c r="K182" s="1"/>
      <c r="L182" s="1"/>
      <c r="M182" s="1"/>
    </row>
    <row r="183" spans="1:13">
      <c r="A183" s="1"/>
      <c r="B183" s="1"/>
      <c r="C183" s="1"/>
      <c r="D183" s="1"/>
      <c r="E183" s="1"/>
      <c r="F183" s="2"/>
      <c r="G183" s="1"/>
      <c r="H183" s="1"/>
      <c r="I183" s="3"/>
      <c r="J183" s="1"/>
      <c r="K183" s="1"/>
      <c r="L183" s="1"/>
      <c r="M183" s="1"/>
    </row>
    <row r="184" spans="1:13">
      <c r="A184" s="1"/>
      <c r="B184" s="1"/>
      <c r="C184" s="1"/>
      <c r="D184" s="1"/>
      <c r="E184" s="1"/>
      <c r="F184" s="2"/>
      <c r="G184" s="1"/>
      <c r="H184" s="1"/>
      <c r="I184" s="3"/>
      <c r="J184" s="1"/>
      <c r="K184" s="1"/>
      <c r="L184" s="1"/>
      <c r="M184" s="1"/>
    </row>
    <row r="185" spans="1:13">
      <c r="A185" s="1"/>
      <c r="B185" s="1"/>
      <c r="C185" s="1"/>
      <c r="D185" s="1"/>
      <c r="E185" s="1"/>
      <c r="F185" s="2"/>
      <c r="G185" s="1"/>
      <c r="H185" s="1"/>
      <c r="I185" s="3"/>
      <c r="J185" s="1"/>
      <c r="K185" s="1"/>
      <c r="L185" s="1"/>
      <c r="M185" s="1"/>
    </row>
    <row r="186" spans="1:13">
      <c r="A186" s="1"/>
      <c r="B186" s="1"/>
      <c r="C186" s="1"/>
      <c r="D186" s="1"/>
      <c r="E186" s="1"/>
      <c r="F186" s="2"/>
      <c r="G186" s="1"/>
      <c r="H186" s="1"/>
      <c r="I186" s="3"/>
      <c r="J186" s="1"/>
      <c r="K186" s="1"/>
      <c r="L186" s="1"/>
      <c r="M186" s="1"/>
    </row>
    <row r="187" spans="1:13">
      <c r="A187" s="1"/>
      <c r="B187" s="1"/>
      <c r="C187" s="1"/>
      <c r="D187" s="1"/>
      <c r="E187" s="1"/>
      <c r="F187" s="2"/>
      <c r="G187" s="1"/>
      <c r="H187" s="1"/>
      <c r="I187" s="3"/>
      <c r="J187" s="1"/>
      <c r="K187" s="1"/>
      <c r="L187" s="1"/>
      <c r="M187" s="1"/>
    </row>
    <row r="188" spans="1:13">
      <c r="A188" s="1"/>
      <c r="B188" s="1"/>
      <c r="C188" s="1"/>
      <c r="D188" s="1"/>
      <c r="E188" s="1"/>
      <c r="F188" s="2"/>
      <c r="G188" s="1"/>
      <c r="H188" s="1"/>
      <c r="I188" s="3"/>
      <c r="J188" s="1"/>
      <c r="K188" s="1"/>
      <c r="L188" s="1"/>
      <c r="M188" s="1"/>
    </row>
    <row r="189" spans="1:13">
      <c r="A189" s="1"/>
      <c r="B189" s="1"/>
      <c r="C189" s="1"/>
      <c r="D189" s="1"/>
      <c r="E189" s="1"/>
      <c r="F189" s="2"/>
      <c r="G189" s="1"/>
      <c r="H189" s="1"/>
      <c r="I189" s="3"/>
      <c r="J189" s="1"/>
      <c r="K189" s="1"/>
      <c r="L189" s="1"/>
      <c r="M189" s="1"/>
    </row>
    <row r="190" spans="1:13">
      <c r="A190" s="1"/>
      <c r="B190" s="1"/>
      <c r="C190" s="1"/>
      <c r="D190" s="1"/>
      <c r="E190" s="1"/>
      <c r="F190" s="2"/>
      <c r="G190" s="1"/>
      <c r="H190" s="1"/>
      <c r="I190" s="3"/>
      <c r="J190" s="1"/>
      <c r="K190" s="1"/>
      <c r="L190" s="1"/>
      <c r="M190" s="1"/>
    </row>
    <row r="191" spans="1:13">
      <c r="A191" s="1"/>
      <c r="B191" s="1"/>
      <c r="C191" s="1"/>
      <c r="D191" s="1"/>
      <c r="E191" s="1"/>
      <c r="F191" s="2"/>
      <c r="G191" s="1"/>
      <c r="H191" s="1"/>
      <c r="I191" s="3"/>
      <c r="J191" s="1"/>
      <c r="K191" s="1"/>
      <c r="L191" s="1"/>
      <c r="M191" s="1"/>
    </row>
    <row r="192" spans="1:13">
      <c r="A192" s="1"/>
      <c r="B192" s="1"/>
      <c r="C192" s="1"/>
      <c r="D192" s="1"/>
      <c r="E192" s="1"/>
      <c r="F192" s="2"/>
      <c r="G192" s="1"/>
      <c r="H192" s="1"/>
      <c r="I192" s="3"/>
      <c r="J192" s="1"/>
      <c r="K192" s="1"/>
      <c r="L192" s="1"/>
      <c r="M192" s="1"/>
    </row>
    <row r="193" spans="1:13">
      <c r="A193" s="1"/>
      <c r="B193" s="1"/>
      <c r="C193" s="1"/>
      <c r="D193" s="1"/>
      <c r="E193" s="1"/>
      <c r="F193" s="2"/>
      <c r="G193" s="1"/>
      <c r="H193" s="1"/>
      <c r="I193" s="3"/>
      <c r="J193" s="1"/>
      <c r="K193" s="1"/>
      <c r="L193" s="1"/>
      <c r="M193" s="1"/>
    </row>
    <row r="194" spans="1:13">
      <c r="A194" s="1"/>
      <c r="B194" s="1"/>
      <c r="C194" s="1"/>
      <c r="D194" s="1"/>
      <c r="E194" s="1"/>
      <c r="F194" s="2"/>
      <c r="G194" s="1"/>
      <c r="H194" s="1"/>
      <c r="I194" s="3"/>
      <c r="J194" s="1"/>
      <c r="K194" s="1"/>
      <c r="L194" s="1"/>
      <c r="M194" s="1"/>
    </row>
    <row r="195" spans="1:13">
      <c r="A195" s="1"/>
      <c r="B195" s="1"/>
      <c r="C195" s="1"/>
      <c r="D195" s="1"/>
      <c r="E195" s="1"/>
      <c r="F195" s="2"/>
      <c r="G195" s="1"/>
      <c r="H195" s="1"/>
      <c r="I195" s="3"/>
      <c r="J195" s="1"/>
      <c r="K195" s="1"/>
      <c r="L195" s="1"/>
      <c r="M195" s="1"/>
    </row>
    <row r="196" spans="1:13">
      <c r="A196" s="1"/>
      <c r="B196" s="1"/>
      <c r="C196" s="1"/>
      <c r="D196" s="1"/>
      <c r="E196" s="1"/>
      <c r="F196" s="2"/>
      <c r="G196" s="1"/>
      <c r="H196" s="1"/>
      <c r="I196" s="3"/>
      <c r="J196" s="1"/>
      <c r="K196" s="1"/>
      <c r="L196" s="1"/>
      <c r="M196" s="1"/>
    </row>
    <row r="197" spans="1:13">
      <c r="A197" s="1"/>
      <c r="B197" s="1"/>
      <c r="C197" s="1"/>
      <c r="D197" s="1"/>
      <c r="E197" s="1"/>
      <c r="F197" s="2"/>
      <c r="G197" s="1"/>
      <c r="H197" s="1"/>
      <c r="I197" s="3"/>
      <c r="J197" s="1"/>
      <c r="K197" s="1"/>
      <c r="L197" s="1"/>
      <c r="M197" s="1"/>
    </row>
    <row r="198" spans="1:13">
      <c r="A198" s="1"/>
      <c r="B198" s="1"/>
      <c r="C198" s="1"/>
      <c r="D198" s="1"/>
      <c r="E198" s="1"/>
      <c r="F198" s="2"/>
      <c r="G198" s="1"/>
      <c r="H198" s="1"/>
      <c r="I198" s="3"/>
      <c r="J198" s="1"/>
      <c r="K198" s="1"/>
      <c r="L198" s="1"/>
      <c r="M198" s="1"/>
    </row>
    <row r="199" spans="1:13">
      <c r="A199" s="1"/>
      <c r="B199" s="1"/>
      <c r="C199" s="1"/>
      <c r="D199" s="1"/>
      <c r="E199" s="1"/>
      <c r="F199" s="2"/>
      <c r="G199" s="1"/>
      <c r="H199" s="1"/>
      <c r="I199" s="3"/>
      <c r="J199" s="1"/>
      <c r="K199" s="1"/>
      <c r="L199" s="1"/>
      <c r="M199" s="1"/>
    </row>
    <row r="200" spans="1:13">
      <c r="A200" s="1"/>
      <c r="B200" s="1"/>
      <c r="C200" s="1"/>
      <c r="D200" s="1"/>
      <c r="E200" s="1"/>
      <c r="F200" s="2"/>
      <c r="G200" s="1"/>
      <c r="H200" s="1"/>
      <c r="I200" s="3"/>
      <c r="J200" s="1"/>
      <c r="K200" s="1"/>
      <c r="L200" s="1"/>
      <c r="M200" s="1"/>
    </row>
    <row r="201" spans="1:13">
      <c r="A201" s="1"/>
      <c r="B201" s="1"/>
      <c r="C201" s="1"/>
      <c r="D201" s="1"/>
      <c r="E201" s="1"/>
      <c r="F201" s="2"/>
      <c r="G201" s="1"/>
      <c r="H201" s="1"/>
      <c r="I201" s="3"/>
      <c r="J201" s="1"/>
      <c r="K201" s="1"/>
      <c r="L201" s="1"/>
      <c r="M201" s="1"/>
    </row>
    <row r="202" spans="1:13">
      <c r="A202" s="1"/>
      <c r="B202" s="1"/>
      <c r="C202" s="1"/>
      <c r="D202" s="1"/>
      <c r="E202" s="1"/>
      <c r="F202" s="2"/>
      <c r="G202" s="1"/>
      <c r="H202" s="1"/>
      <c r="I202" s="3"/>
      <c r="J202" s="1"/>
      <c r="K202" s="1"/>
      <c r="L202" s="1"/>
      <c r="M20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8A18-E272-4267-B92C-721D4DC8BFC5}">
  <dimension ref="B3:F18"/>
  <sheetViews>
    <sheetView workbookViewId="0">
      <selection activeCell="E14" sqref="E14"/>
    </sheetView>
  </sheetViews>
  <sheetFormatPr defaultRowHeight="15"/>
  <cols>
    <col min="5" max="6" width="36.5703125" bestFit="1" customWidth="1"/>
  </cols>
  <sheetData>
    <row r="3" spans="5:6" ht="30.75">
      <c r="E3" s="17" t="s">
        <v>399</v>
      </c>
    </row>
    <row r="5" spans="5:6">
      <c r="E5" s="35" t="s">
        <v>400</v>
      </c>
      <c r="F5" s="40" t="str">
        <f>_xlfn.XLOOKUP('Vlookup-Index-'!C6,Sheet1!A:A,Sheet1!B:B)</f>
        <v>Ingrid</v>
      </c>
    </row>
    <row r="6" spans="5:6">
      <c r="E6" s="35" t="s">
        <v>4</v>
      </c>
      <c r="F6" s="40" t="str">
        <f>_xlfn.XLOOKUP('Vlookup-Index-'!C6,Sheet1!A:A,Sheet1!E:E)</f>
        <v>Accounting</v>
      </c>
    </row>
    <row r="7" spans="5:6">
      <c r="E7" s="35" t="s">
        <v>401</v>
      </c>
      <c r="F7" s="40">
        <f>_xlfn.XLOOKUP('Vlookup-Index-'!C6,Sheet1!A:A,Sheet1!F:F)</f>
        <v>64</v>
      </c>
    </row>
    <row r="8" spans="5:6">
      <c r="E8" s="35" t="s">
        <v>402</v>
      </c>
      <c r="F8" s="41" t="str">
        <f>_xlfn.XLOOKUP('Vlookup-Index-'!C6,Sheet1!A:A,Sheet1!A:A)</f>
        <v>PR19000</v>
      </c>
    </row>
    <row r="11" spans="5:6">
      <c r="E11" t="s">
        <v>403</v>
      </c>
    </row>
    <row r="13" spans="5:6" ht="30.75">
      <c r="E13" s="4">
        <f>_xlfn.XLOOKUP(C9, Sheet1!B:B, Sheet1!E:E)</f>
        <v>0</v>
      </c>
    </row>
    <row r="18" spans="2:2">
      <c r="B18" s="49" t="s">
        <v>379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E059-E1A9-40CE-AAF7-5E905D12D729}">
  <dimension ref="B3:K19"/>
  <sheetViews>
    <sheetView workbookViewId="0">
      <selection activeCell="F14" sqref="F14"/>
    </sheetView>
  </sheetViews>
  <sheetFormatPr defaultRowHeight="15"/>
  <cols>
    <col min="4" max="4" width="11" bestFit="1" customWidth="1"/>
    <col min="5" max="5" width="36.5703125" bestFit="1" customWidth="1"/>
    <col min="6" max="6" width="44.5703125" customWidth="1"/>
  </cols>
  <sheetData>
    <row r="3" spans="4:11">
      <c r="D3" t="s">
        <v>404</v>
      </c>
      <c r="E3" s="44">
        <f>MAX(Sheet1!F2:F201)</f>
        <v>179</v>
      </c>
    </row>
    <row r="4" spans="4:11">
      <c r="D4" t="s">
        <v>405</v>
      </c>
      <c r="E4" s="43" t="str">
        <f>_xlfn.XLOOKUP(MAX(Sheet1!F:F), Sheet1!F:F, Sheet1!B:B) &amp; " " &amp; _xlfn.XLOOKUP(MAX(Sheet1!F:F), Sheet1!F:F, Sheet1!C:C)</f>
        <v>Julia Fellgate</v>
      </c>
      <c r="F4" s="42"/>
      <c r="G4" s="42"/>
      <c r="H4" s="42"/>
      <c r="I4" s="42"/>
      <c r="J4" s="42"/>
      <c r="K4" s="42"/>
    </row>
    <row r="5" spans="4:11">
      <c r="E5" s="42"/>
      <c r="F5" s="42"/>
      <c r="G5" s="42"/>
      <c r="H5" s="42"/>
      <c r="I5" s="42"/>
      <c r="J5" s="42"/>
      <c r="K5" s="42"/>
    </row>
    <row r="9" spans="4:11" ht="30.75">
      <c r="D9" t="s">
        <v>406</v>
      </c>
      <c r="E9" s="41" t="str" cm="1">
        <f t="array" ref="E9:E11">_xlfn._xlws.FILTER(Sheet1!B:B &amp;" "&amp; Sheet1!C:C,Sheet1!F:F=MAX(Sheet1!F:F))</f>
        <v>Julia Fellgate</v>
      </c>
      <c r="F9" s="45" t="str" cm="1">
        <f t="array" ref="F9">_xlfn.TEXTJOIN(",",,_xlfn._xlws.FILTER(Sheet1!B:B &amp;" "&amp; Sheet1!C:C,Sheet1!F:F=MAX(Sheet1!F:F)))</f>
        <v>Julia Fellgate,Günter Campbell,Robert Brown</v>
      </c>
      <c r="G9" s="40"/>
      <c r="H9" s="40"/>
      <c r="I9" s="40"/>
      <c r="J9" s="40"/>
      <c r="K9" s="40"/>
    </row>
    <row r="10" spans="4:11">
      <c r="E10" t="str">
        <v>Günter Campbell</v>
      </c>
    </row>
    <row r="11" spans="4:11">
      <c r="E11" t="str">
        <v>Robert Brown</v>
      </c>
    </row>
    <row r="19" spans="2:2">
      <c r="B19" s="49" t="s">
        <v>379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E429-2DC5-4F26-9DA3-42E161810D2C}">
  <dimension ref="A3:Q15"/>
  <sheetViews>
    <sheetView workbookViewId="0">
      <selection activeCell="D13" sqref="D13"/>
    </sheetView>
  </sheetViews>
  <sheetFormatPr defaultRowHeight="15"/>
  <cols>
    <col min="3" max="3" width="36.5703125" bestFit="1" customWidth="1"/>
    <col min="4" max="4" width="10.85546875" bestFit="1" customWidth="1"/>
    <col min="5" max="5" width="10.5703125" bestFit="1" customWidth="1"/>
  </cols>
  <sheetData>
    <row r="3" spans="1:17">
      <c r="C3" s="14" t="s">
        <v>0</v>
      </c>
      <c r="D3" s="14" t="s">
        <v>1</v>
      </c>
      <c r="E3" s="14" t="s">
        <v>2</v>
      </c>
    </row>
    <row r="4" spans="1:17" ht="30.75">
      <c r="C4" s="4" t="str" cm="1">
        <f t="array" ref="C4:Q7">_xlfn._xlws.FILTER(Sheet1!A2:O201,Sheet1!B2:B201="Anna")</f>
        <v>PR96753</v>
      </c>
      <c r="D4" t="str">
        <v>Anna</v>
      </c>
      <c r="E4" t="str">
        <v>Scott</v>
      </c>
      <c r="F4" t="str">
        <v>Male</v>
      </c>
      <c r="G4" t="str">
        <v>Product Management</v>
      </c>
      <c r="H4">
        <v>34</v>
      </c>
      <c r="I4">
        <v>792</v>
      </c>
      <c r="J4" t="str">
        <v>Under 50k</v>
      </c>
      <c r="K4">
        <v>46250</v>
      </c>
      <c r="L4">
        <v>0.7</v>
      </c>
      <c r="M4" t="str">
        <v>Contract</v>
      </c>
      <c r="N4" t="str">
        <v>Chicago</v>
      </c>
      <c r="O4" t="str">
        <v>USA</v>
      </c>
      <c r="P4">
        <v>2.15</v>
      </c>
      <c r="Q4" t="str">
        <v>Full time</v>
      </c>
    </row>
    <row r="5" spans="1:17">
      <c r="C5" t="str">
        <v>PR55285</v>
      </c>
      <c r="D5" t="str">
        <v>Anna</v>
      </c>
      <c r="E5" t="str">
        <v>Perez</v>
      </c>
      <c r="F5" t="str">
        <v>Female</v>
      </c>
      <c r="G5" t="str">
        <v>Training</v>
      </c>
      <c r="H5">
        <v>108</v>
      </c>
      <c r="I5">
        <v>512</v>
      </c>
      <c r="J5" t="str">
        <v>Above 100k</v>
      </c>
      <c r="K5">
        <v>46176</v>
      </c>
      <c r="L5">
        <v>0.6</v>
      </c>
      <c r="M5" t="str">
        <v>Temporary</v>
      </c>
      <c r="N5" t="str">
        <v>London</v>
      </c>
      <c r="O5" t="str">
        <v>UK</v>
      </c>
      <c r="P5">
        <v>9.43</v>
      </c>
      <c r="Q5" t="str">
        <v>Freelance</v>
      </c>
    </row>
    <row r="6" spans="1:17">
      <c r="C6" t="str">
        <v>PR30716</v>
      </c>
      <c r="D6" t="str">
        <v>Anna</v>
      </c>
      <c r="E6" t="str">
        <v>Garcia</v>
      </c>
      <c r="F6" t="str">
        <v>Female</v>
      </c>
      <c r="G6" t="str">
        <v>Sales</v>
      </c>
      <c r="H6">
        <v>115</v>
      </c>
      <c r="I6">
        <v>877</v>
      </c>
      <c r="J6" t="str">
        <v>Above 100k</v>
      </c>
      <c r="K6">
        <v>46053</v>
      </c>
      <c r="L6">
        <v>0.5</v>
      </c>
      <c r="M6" t="str">
        <v>Permanent</v>
      </c>
      <c r="N6" t="str">
        <v>Berlin</v>
      </c>
      <c r="O6" t="str">
        <v>Germany</v>
      </c>
      <c r="P6">
        <v>2.34</v>
      </c>
      <c r="Q6" t="str">
        <v>Freelance</v>
      </c>
    </row>
    <row r="7" spans="1:17">
      <c r="C7" t="str">
        <v>PR71574</v>
      </c>
      <c r="D7" t="str">
        <v>Anna</v>
      </c>
      <c r="E7" t="str">
        <v>Perez</v>
      </c>
      <c r="F7" t="str">
        <v>Male</v>
      </c>
      <c r="G7" t="str">
        <v>Accounting</v>
      </c>
      <c r="H7">
        <v>98</v>
      </c>
      <c r="I7">
        <v>995</v>
      </c>
      <c r="J7" t="str">
        <v>50k to 100k</v>
      </c>
      <c r="K7">
        <v>46146</v>
      </c>
      <c r="L7">
        <v>0.4</v>
      </c>
      <c r="M7" t="str">
        <v>Temporary</v>
      </c>
      <c r="N7" t="str">
        <v>Tokyo</v>
      </c>
      <c r="O7" t="str">
        <v>Japan</v>
      </c>
      <c r="P7">
        <v>7.33</v>
      </c>
      <c r="Q7" t="str">
        <v>Contract</v>
      </c>
    </row>
    <row r="15" spans="1:17">
      <c r="A15" s="49" t="s">
        <v>379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AD49-58B3-4C37-891F-690298F41DC9}">
  <dimension ref="A2:J23"/>
  <sheetViews>
    <sheetView tabSelected="1" workbookViewId="0">
      <selection activeCell="A2" sqref="A2"/>
    </sheetView>
  </sheetViews>
  <sheetFormatPr defaultRowHeight="15"/>
  <cols>
    <col min="4" max="4" width="25.42578125" customWidth="1"/>
    <col min="5" max="5" width="10.42578125" bestFit="1" customWidth="1"/>
    <col min="6" max="6" width="11.140625" bestFit="1" customWidth="1"/>
    <col min="7" max="7" width="24.5703125" bestFit="1" customWidth="1"/>
    <col min="8" max="8" width="13.140625" bestFit="1" customWidth="1"/>
    <col min="9" max="9" width="13.28515625" bestFit="1" customWidth="1"/>
    <col min="10" max="10" width="12.28515625" bestFit="1" customWidth="1"/>
  </cols>
  <sheetData>
    <row r="2" spans="1:10">
      <c r="A2" t="s">
        <v>379</v>
      </c>
    </row>
    <row r="5" spans="1:10">
      <c r="E5" t="s">
        <v>407</v>
      </c>
      <c r="F5" t="s">
        <v>408</v>
      </c>
      <c r="G5" t="s">
        <v>409</v>
      </c>
    </row>
    <row r="6" spans="1:10">
      <c r="D6" s="47" t="s">
        <v>410</v>
      </c>
      <c r="E6" s="47">
        <f>COUNTA(Sheet1!A2:A201)</f>
        <v>200</v>
      </c>
      <c r="F6" s="48">
        <f>AVERAGE(Sheet1!F2:F201)</f>
        <v>103.83499999999999</v>
      </c>
      <c r="G6" s="47">
        <f>MAX(Sheet1!G2:G201)</f>
        <v>996</v>
      </c>
    </row>
    <row r="8" spans="1:10">
      <c r="D8" s="46" t="s">
        <v>411</v>
      </c>
      <c r="E8" s="46" t="s">
        <v>412</v>
      </c>
      <c r="F8" s="46" t="s">
        <v>413</v>
      </c>
      <c r="G8" s="46" t="s">
        <v>414</v>
      </c>
      <c r="H8" s="46" t="s">
        <v>415</v>
      </c>
      <c r="I8" s="46" t="s">
        <v>416</v>
      </c>
    </row>
    <row r="9" spans="1:10">
      <c r="D9" t="str" cm="1">
        <f t="array" ref="D9:D23">_xlfn.UNIQUE(Sheet1!E2:E201)</f>
        <v>Engineering</v>
      </c>
      <c r="E9" cm="1">
        <f t="array" ref="E9:E23">COUNTIFS(Sheet1!E2:E201,_xlfn.ANCHORARRAY('Headcount+Salary+All Average'!D9))</f>
        <v>15</v>
      </c>
      <c r="F9" s="6" cm="1">
        <f t="array" ref="F9:F23">AVERAGEIFS(Sheet1!F2:F201,Sheet1!E2:E201,_xlfn.ANCHORARRAY('Headcount+Salary+All Average'!D9))</f>
        <v>99.333333333333329</v>
      </c>
      <c r="G9" s="44">
        <f>F9-F6</f>
        <v>-4.5016666666666652</v>
      </c>
      <c r="H9" cm="1">
        <f t="array" ref="H9:H23">_xlfn.MAXIFS(Sheet1!F2:F201,Sheet1!E2:E201,_xlfn.ANCHORARRAY('Headcount+Salary+All Average'!D9))</f>
        <v>177</v>
      </c>
      <c r="I9" s="44">
        <f>MEDIAN(Sheet1!F2:F201)</f>
        <v>106</v>
      </c>
      <c r="J9" s="44"/>
    </row>
    <row r="10" spans="1:10">
      <c r="D10" t="str">
        <v>Product Management</v>
      </c>
      <c r="E10">
        <v>11</v>
      </c>
      <c r="F10" s="6">
        <v>109.63636363636364</v>
      </c>
      <c r="G10" s="44">
        <f t="shared" ref="G10:G23" si="0">F10-F7</f>
        <v>109.63636363636364</v>
      </c>
      <c r="H10">
        <v>154</v>
      </c>
      <c r="I10" s="44">
        <f>MEDIAN(Sheet1!F3:F202)</f>
        <v>107</v>
      </c>
      <c r="J10" s="44"/>
    </row>
    <row r="11" spans="1:10">
      <c r="D11" t="str">
        <v>Customer Service</v>
      </c>
      <c r="E11">
        <v>15</v>
      </c>
      <c r="F11" s="6">
        <v>107.26666666666667</v>
      </c>
      <c r="G11" s="44" t="e">
        <f t="shared" si="0"/>
        <v>#VALUE!</v>
      </c>
      <c r="H11">
        <v>177</v>
      </c>
      <c r="I11" s="44">
        <f>MEDIAN(Sheet1!F4:F203)</f>
        <v>107</v>
      </c>
      <c r="J11" s="44"/>
    </row>
    <row r="12" spans="1:10">
      <c r="D12" t="str">
        <v>Finance</v>
      </c>
      <c r="E12">
        <v>13</v>
      </c>
      <c r="F12" s="6">
        <v>89.692307692307693</v>
      </c>
      <c r="G12" s="44">
        <f t="shared" si="0"/>
        <v>-9.6410256410256352</v>
      </c>
      <c r="H12">
        <v>170</v>
      </c>
      <c r="I12" s="44">
        <f>MEDIAN(Sheet1!F5:F204)</f>
        <v>107</v>
      </c>
      <c r="J12" s="44"/>
    </row>
    <row r="13" spans="1:10">
      <c r="D13" t="str">
        <v>IT</v>
      </c>
      <c r="E13">
        <v>11</v>
      </c>
      <c r="F13" s="6">
        <v>111.18181818181819</v>
      </c>
      <c r="G13" s="44">
        <f t="shared" si="0"/>
        <v>1.5454545454545467</v>
      </c>
      <c r="H13">
        <v>159</v>
      </c>
      <c r="I13" s="44">
        <f>MEDIAN(Sheet1!F6:F205)</f>
        <v>107.5</v>
      </c>
      <c r="J13" s="44"/>
    </row>
    <row r="14" spans="1:10">
      <c r="D14" t="str">
        <v>Business Development</v>
      </c>
      <c r="E14">
        <v>10</v>
      </c>
      <c r="F14" s="6">
        <v>110.6</v>
      </c>
      <c r="G14" s="44">
        <f t="shared" si="0"/>
        <v>3.3333333333333286</v>
      </c>
      <c r="H14">
        <v>179</v>
      </c>
      <c r="I14" s="44">
        <f>MEDIAN(Sheet1!F7:F206)</f>
        <v>107</v>
      </c>
      <c r="J14" s="44"/>
    </row>
    <row r="15" spans="1:10">
      <c r="D15" t="str">
        <v>Operations</v>
      </c>
      <c r="E15">
        <v>13</v>
      </c>
      <c r="F15" s="6">
        <v>98.07692307692308</v>
      </c>
      <c r="G15" s="44">
        <f t="shared" si="0"/>
        <v>8.3846153846153868</v>
      </c>
      <c r="H15">
        <v>171</v>
      </c>
      <c r="I15" s="44">
        <f>MEDIAN(Sheet1!F8:F207)</f>
        <v>107</v>
      </c>
      <c r="J15" s="44"/>
    </row>
    <row r="16" spans="1:10">
      <c r="D16" t="str">
        <v>Marketing</v>
      </c>
      <c r="E16">
        <v>14</v>
      </c>
      <c r="F16" s="6">
        <v>99</v>
      </c>
      <c r="G16" s="44">
        <f t="shared" si="0"/>
        <v>-12.181818181818187</v>
      </c>
      <c r="H16">
        <v>172</v>
      </c>
      <c r="I16" s="44">
        <f>MEDIAN(Sheet1!F9:F208)</f>
        <v>107</v>
      </c>
      <c r="J16" s="44"/>
    </row>
    <row r="17" spans="4:10">
      <c r="D17" t="str">
        <v>Data Analytics</v>
      </c>
      <c r="E17">
        <v>14</v>
      </c>
      <c r="F17" s="6">
        <v>106</v>
      </c>
      <c r="G17" s="44">
        <f t="shared" si="0"/>
        <v>-4.5999999999999943</v>
      </c>
      <c r="H17">
        <v>165</v>
      </c>
      <c r="I17" s="44">
        <f>MEDIAN(Sheet1!F10:F209)</f>
        <v>107.5</v>
      </c>
      <c r="J17" s="44"/>
    </row>
    <row r="18" spans="4:10">
      <c r="D18" t="str">
        <v>Accounting</v>
      </c>
      <c r="E18">
        <v>19</v>
      </c>
      <c r="F18" s="6">
        <v>88.631578947368425</v>
      </c>
      <c r="G18" s="44">
        <f t="shared" si="0"/>
        <v>-9.4453441295546554</v>
      </c>
      <c r="H18">
        <v>175</v>
      </c>
      <c r="I18" s="44">
        <f>MEDIAN(Sheet1!F11:F210)</f>
        <v>108</v>
      </c>
      <c r="J18" s="44"/>
    </row>
    <row r="19" spans="4:10">
      <c r="D19" t="str">
        <v>Sales</v>
      </c>
      <c r="E19">
        <v>17</v>
      </c>
      <c r="F19" s="6">
        <v>104.64705882352941</v>
      </c>
      <c r="G19" s="44">
        <f t="shared" si="0"/>
        <v>5.6470588235294059</v>
      </c>
      <c r="H19">
        <v>179</v>
      </c>
      <c r="I19" s="44">
        <f>MEDIAN(Sheet1!F12:F211)</f>
        <v>109.5</v>
      </c>
      <c r="J19" s="44"/>
    </row>
    <row r="20" spans="4:10">
      <c r="D20" t="str">
        <v>Human Resources</v>
      </c>
      <c r="E20">
        <v>11</v>
      </c>
      <c r="F20" s="6">
        <v>118.81818181818181</v>
      </c>
      <c r="G20" s="44">
        <f t="shared" si="0"/>
        <v>12.818181818181813</v>
      </c>
      <c r="H20">
        <v>168</v>
      </c>
      <c r="I20" s="44">
        <f>MEDIAN(Sheet1!F13:F212)</f>
        <v>108</v>
      </c>
      <c r="J20" s="44"/>
    </row>
    <row r="21" spans="4:10">
      <c r="D21" t="str">
        <v>Legal</v>
      </c>
      <c r="E21">
        <v>10</v>
      </c>
      <c r="F21" s="6">
        <v>107.3</v>
      </c>
      <c r="G21" s="44">
        <f t="shared" si="0"/>
        <v>18.668421052631572</v>
      </c>
      <c r="H21">
        <v>176</v>
      </c>
      <c r="I21" s="44">
        <f>MEDIAN(Sheet1!F14:F213)</f>
        <v>107.5</v>
      </c>
      <c r="J21" s="44"/>
    </row>
    <row r="22" spans="4:10">
      <c r="D22" t="str">
        <v>Training</v>
      </c>
      <c r="E22">
        <v>12</v>
      </c>
      <c r="F22" s="6">
        <v>121.58333333333333</v>
      </c>
      <c r="G22" s="44">
        <f t="shared" si="0"/>
        <v>16.936274509803923</v>
      </c>
      <c r="H22">
        <v>179</v>
      </c>
      <c r="I22" s="44">
        <f>MEDIAN(Sheet1!F15:F214)</f>
        <v>108</v>
      </c>
      <c r="J22" s="44"/>
    </row>
    <row r="23" spans="4:10">
      <c r="D23" t="str">
        <v>Research and Development</v>
      </c>
      <c r="E23">
        <v>15</v>
      </c>
      <c r="F23" s="6">
        <v>101.33333333333333</v>
      </c>
      <c r="G23" s="44">
        <f t="shared" si="0"/>
        <v>-17.484848484848484</v>
      </c>
      <c r="H23">
        <v>176</v>
      </c>
      <c r="I23" s="44">
        <f>MEDIAN(Sheet1!F16:F215)</f>
        <v>109.5</v>
      </c>
      <c r="J23" s="44"/>
    </row>
  </sheetData>
  <conditionalFormatting sqref="G9:G2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{BAAF5B73-D4B8-4958-8113-28FB3ED24F85}</x14:id>
        </ext>
      </extLst>
    </cfRule>
  </conditionalFormatting>
  <conditionalFormatting sqref="G9:G2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{3DE5159B-6FF8-4D9C-95CB-0AC913AF1980}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AF5B73-D4B8-4958-8113-28FB3ED24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G9:G23</xm:sqref>
        </x14:conditionalFormatting>
        <x14:conditionalFormatting xmlns:xm="http://schemas.microsoft.com/office/excel/2006/main">
          <x14:cfRule type="dataBar" id="{3DE5159B-6FF8-4D9C-95CB-0AC913AF19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G9:G23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SHORIFUL ALAM ROBIN</cp:lastModifiedBy>
  <cp:revision/>
  <dcterms:created xsi:type="dcterms:W3CDTF">2026-05-11T04:54:30Z</dcterms:created>
  <dcterms:modified xsi:type="dcterms:W3CDTF">2026-05-14T05:48:35Z</dcterms:modified>
  <cp:category/>
  <cp:contentStatus/>
</cp:coreProperties>
</file>