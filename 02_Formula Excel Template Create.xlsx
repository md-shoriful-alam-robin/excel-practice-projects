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243" documentId="8_{AEE5DA8A-F772-4B0E-A554-1053E2C64027}" xr6:coauthVersionLast="47" xr6:coauthVersionMax="47" xr10:uidLastSave="{5826D8D0-B10A-42A4-B9CE-1F689BA739EF}"/>
  <bookViews>
    <workbookView xWindow="-108" yWindow="-108" windowWidth="23256" windowHeight="12456" firstSheet="1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3" l="1"/>
  <c r="K9" i="13"/>
  <c r="K10" i="13"/>
  <c r="K2" i="13"/>
  <c r="K3" i="13"/>
  <c r="K4" i="13"/>
  <c r="K5" i="13"/>
  <c r="K6" i="13"/>
  <c r="K7" i="13"/>
  <c r="K8" i="13"/>
  <c r="J3" i="13"/>
  <c r="J4" i="13"/>
  <c r="J5" i="13"/>
  <c r="J6" i="13"/>
  <c r="J7" i="13"/>
  <c r="J8" i="13"/>
  <c r="J9" i="13"/>
  <c r="J10" i="13"/>
  <c r="L2" i="5"/>
  <c r="K2" i="5"/>
  <c r="J2" i="5"/>
  <c r="L2" i="12"/>
  <c r="K2" i="12"/>
  <c r="J2" i="12"/>
  <c r="K2" i="7" a="1"/>
  <c r="K2" i="7"/>
  <c r="J2" i="7" a="1"/>
  <c r="J2" i="7"/>
  <c r="L2" i="7" a="1"/>
  <c r="L2" i="7"/>
  <c r="K3" i="1"/>
  <c r="K4" i="1"/>
  <c r="K5" i="1"/>
  <c r="K6" i="1"/>
  <c r="K7" i="1"/>
  <c r="K8" i="1"/>
  <c r="K9" i="1"/>
  <c r="K10" i="1"/>
  <c r="K2" i="1"/>
  <c r="J2" i="1"/>
  <c r="J3" i="1"/>
  <c r="J4" i="1"/>
  <c r="J5" i="1"/>
  <c r="J6" i="1"/>
  <c r="J7" i="1"/>
  <c r="J8" i="1"/>
  <c r="J9" i="1"/>
  <c r="J10" i="1"/>
  <c r="J2" i="6" a="1"/>
  <c r="J2" i="6"/>
  <c r="M2" i="3"/>
  <c r="M2" i="4" a="1"/>
  <c r="M2" i="4"/>
  <c r="J2" i="3" a="1"/>
  <c r="J2" i="3"/>
  <c r="L2" i="4" a="1"/>
  <c r="L2" i="4"/>
  <c r="K2" i="4" a="1"/>
  <c r="K2" i="4"/>
  <c r="J2" i="2" a="1"/>
  <c r="J2" i="2"/>
  <c r="J2" i="8" a="1"/>
  <c r="J2" i="8"/>
  <c r="K2" i="8" a="1"/>
  <c r="K2" i="8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<sst xmlns="http://schemas.openxmlformats.org/spreadsheetml/2006/main" count="594" uniqueCount="91">
  <si>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</si>
  <si>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</si>
  <si>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</si>
  <si>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</si>
  <si>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</si>
  <si>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</si>
  <si>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</si>
  <si>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</si>
  <si>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</si>
  <si>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Max</t>
  </si>
  <si>
    <t>Min</t>
  </si>
  <si>
    <t>Jim</t>
  </si>
  <si>
    <t>Halpert</t>
  </si>
  <si>
    <t>Male</t>
  </si>
  <si>
    <t>Salesman</t>
  </si>
  <si>
    <t>Pam</t>
  </si>
  <si>
    <t>Beasley</t>
  </si>
  <si>
    <t>Female</t>
  </si>
  <si>
    <t>Receptionist</t>
  </si>
  <si>
    <t>Dwight</t>
  </si>
  <si>
    <t>Schrute</t>
  </si>
  <si>
    <t>Angela</t>
  </si>
  <si>
    <t>Martin</t>
  </si>
  <si>
    <t>Accountant</t>
  </si>
  <si>
    <t>Toby</t>
  </si>
  <si>
    <t>Flenderson</t>
  </si>
  <si>
    <t>HR</t>
  </si>
  <si>
    <t>Michael</t>
  </si>
  <si>
    <t>Scott</t>
  </si>
  <si>
    <t>Regional Manager</t>
  </si>
  <si>
    <t>Meredith</t>
  </si>
  <si>
    <t>Palmer</t>
  </si>
  <si>
    <t>Supplier Relations</t>
  </si>
  <si>
    <t>Stanley</t>
  </si>
  <si>
    <t>Hudson</t>
  </si>
  <si>
    <t>Kevin</t>
  </si>
  <si>
    <t>Malone</t>
  </si>
  <si>
    <t>Robin</t>
  </si>
  <si>
    <t>IF</t>
  </si>
  <si>
    <t>IFS</t>
  </si>
  <si>
    <t>LEN(B2)</t>
  </si>
  <si>
    <t>Can be used to see difference between 100s and thousands. Can find bad Social Security numbers if they're 10 digits instead of 9</t>
  </si>
  <si>
    <t>Email</t>
  </si>
  <si>
    <t>Left</t>
  </si>
  <si>
    <t>Right</t>
  </si>
  <si>
    <t>11/2/2001</t>
  </si>
  <si>
    <t>9/6/2015</t>
  </si>
  <si>
    <t>Jim.Halpert@DunderMifflin.com</t>
  </si>
  <si>
    <t>10/3/1999</t>
  </si>
  <si>
    <t>10/10/2015</t>
  </si>
  <si>
    <t>Pam.Beasley@DunderMifflin.com</t>
  </si>
  <si>
    <t>7/4/2000</t>
  </si>
  <si>
    <t>9/8/2017</t>
  </si>
  <si>
    <t>Dwight.Schrute@AOL.com</t>
  </si>
  <si>
    <t>1/5/2000</t>
  </si>
  <si>
    <t>12/3/2015</t>
  </si>
  <si>
    <t>Angela.Martin@DunderMifflin.com</t>
  </si>
  <si>
    <t>5/6/2001</t>
  </si>
  <si>
    <t>8/30/2017</t>
  </si>
  <si>
    <t>Toby.Flenderson@DunderMifflinCorporate.com</t>
  </si>
  <si>
    <t>9/11/2013</t>
  </si>
  <si>
    <t>Michael.Scott@DunderMifflin.com</t>
  </si>
  <si>
    <t>11/8/2003</t>
  </si>
  <si>
    <t>Meredith.Palmer@Yahoo.com</t>
  </si>
  <si>
    <t>6/9/2002</t>
  </si>
  <si>
    <t>4/22/2015</t>
  </si>
  <si>
    <t>Stanley.Hudson@gmail.com</t>
  </si>
  <si>
    <t>8/10/2003</t>
  </si>
  <si>
    <t>Kevin.Malone@DunderMifflin.com</t>
  </si>
  <si>
    <t>TEXT(H2,"dd/mm/yyyy")</t>
  </si>
  <si>
    <t>TRIM(C2)</t>
  </si>
  <si>
    <t>It just removes unwanted spaces on both sides</t>
  </si>
  <si>
    <t xml:space="preserve"> Schrute</t>
  </si>
  <si>
    <t xml:space="preserve">Flenderson    </t>
  </si>
  <si>
    <t xml:space="preserve">   Scott</t>
  </si>
  <si>
    <t xml:space="preserve">  Hudson</t>
  </si>
  <si>
    <t xml:space="preserve">Malone </t>
  </si>
  <si>
    <t>with 1 instance</t>
  </si>
  <si>
    <t>with 2 instances</t>
  </si>
  <si>
    <t>with NO instances</t>
  </si>
  <si>
    <t>1-5-2000</t>
  </si>
  <si>
    <t>12-3-2015</t>
  </si>
  <si>
    <t>SUM</t>
  </si>
  <si>
    <t>SUMIF</t>
  </si>
  <si>
    <t>SUMIFS</t>
  </si>
  <si>
    <t>COUNT</t>
  </si>
  <si>
    <t>COUNTIF</t>
  </si>
  <si>
    <t>COUNTIFS</t>
  </si>
  <si>
    <t>CONCATENATE(B2," ",C2)</t>
  </si>
  <si>
    <t>DAYS</t>
  </si>
  <si>
    <t>NETWORKDAYS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</si>
</sst>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M19"/>
  <sheetViews>
    <sheetView topLeftCell="H1" workbookViewId="0">
      <selection activeCell="M19" sqref="M19"/>
    </sheetView>
  </sheetViews>
  <sheetFormatPr defaultColWidth="13.7109375" defaultRowHeight="14.45"/>
  <cols>
    <col min="1" max="1" width="10.7109375" bestFit="1" customWidth="1"/>
    <col min="4" max="4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</row>
    <row r="5" spans="1:11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</row>
    <row r="6" spans="1:11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</row>
    <row r="7" spans="1:11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</row>
    <row r="8" spans="1:11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</row>
    <row r="9" spans="1:11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</row>
    <row r="10" spans="1:11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</row>
    <row r="19" spans="13:13">
      <c r="M19" s="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22"/>
  <sheetViews>
    <sheetView topLeftCell="A3" workbookViewId="0">
      <selection activeCell="G22" sqref="G22"/>
    </sheetView>
  </sheetViews>
  <sheetFormatPr defaultColWidth="13.7109375" defaultRowHeight="14.45"/>
  <cols>
    <col min="1" max="1" width="10.7109375" bestFit="1" customWidth="1"/>
    <col min="4" max="4" width="7.7109375" customWidth="1"/>
    <col min="6" max="6" width="16.7109375" bestFit="1" customWidth="1"/>
    <col min="10" max="10" width="28.7109375" bestFit="1" customWidth="1"/>
    <col min="11" max="11" width="30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38</v>
      </c>
      <c r="K1" t="s">
        <v>39</v>
      </c>
    </row>
    <row r="2" spans="1:11" ht="15" customHeight="1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s="4" t="str" cm="1">
        <f t="array" ref="K2:K10">_xlfn.IFS(F2:F10="Salesman","Sale",F2:F10="HR","Fire Immediately",F2:F10="Regional Manager","Gives Christmas Bonus")</f>
        <v>Sale</v>
      </c>
    </row>
    <row r="3" spans="1:11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v>Young</v>
      </c>
      <c r="K4" t="str">
        <v>Sale</v>
      </c>
    </row>
    <row r="5" spans="1:11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v>Old</v>
      </c>
      <c r="K7" t="str">
        <v>Gives Christmas Bonus</v>
      </c>
    </row>
    <row r="8" spans="1:11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v>Old</v>
      </c>
      <c r="K9" t="str">
        <v>Sale</v>
      </c>
    </row>
    <row r="10" spans="1:11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  <row r="22" spans="7:7" ht="15">
      <c r="G22" s="6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M20"/>
  <sheetViews>
    <sheetView topLeftCell="E1" workbookViewId="0">
      <selection activeCell="M20" sqref="M20"/>
    </sheetView>
  </sheetViews>
  <sheetFormatPr defaultColWidth="10.85546875" defaultRowHeight="14.45"/>
  <cols>
    <col min="1" max="1" width="10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40</v>
      </c>
      <c r="L1" t="s">
        <v>41</v>
      </c>
    </row>
    <row r="2" spans="1:12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>
        <v>7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>
        <v>7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>
        <v>6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>
        <v>10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>
        <v>5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>
        <v>6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>
        <v>6</v>
      </c>
    </row>
    <row r="20" spans="13:13" ht="15">
      <c r="M20" s="6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20"/>
  <sheetViews>
    <sheetView topLeftCell="H1" workbookViewId="0">
      <selection activeCell="L20" sqref="L20"/>
    </sheetView>
  </sheetViews>
  <sheetFormatPr defaultColWidth="14.5703125" defaultRowHeight="14.45"/>
  <cols>
    <col min="4" max="4" width="8" customWidth="1"/>
    <col min="10" max="10" width="32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42</v>
      </c>
      <c r="K1" t="s">
        <v>43</v>
      </c>
      <c r="L1" t="s">
        <v>44</v>
      </c>
      <c r="M1" t="s">
        <v>44</v>
      </c>
    </row>
    <row r="2" spans="1:1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3" t="s">
        <v>45</v>
      </c>
      <c r="I2" s="3" t="s">
        <v>46</v>
      </c>
      <c r="J2" s="1" t="s">
        <v>47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3" t="s">
        <v>48</v>
      </c>
      <c r="I3" s="3" t="s">
        <v>49</v>
      </c>
      <c r="J3" s="1" t="s">
        <v>50</v>
      </c>
      <c r="K3" t="str">
        <v>Pam</v>
      </c>
      <c r="L3" t="str">
        <v>2</v>
      </c>
      <c r="M3" t="str">
        <v>1999</v>
      </c>
    </row>
    <row r="4" spans="1:1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3" t="s">
        <v>51</v>
      </c>
      <c r="I4" s="3" t="s">
        <v>52</v>
      </c>
      <c r="J4" s="1" t="s">
        <v>53</v>
      </c>
      <c r="K4" t="str">
        <v>Dwi</v>
      </c>
      <c r="L4" t="str">
        <v>3</v>
      </c>
      <c r="M4" t="str">
        <v>2000</v>
      </c>
    </row>
    <row r="5" spans="1:1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3" t="s">
        <v>54</v>
      </c>
      <c r="I5" s="3" t="s">
        <v>55</v>
      </c>
      <c r="J5" s="1" t="s">
        <v>56</v>
      </c>
      <c r="K5" t="str">
        <v>Ang</v>
      </c>
      <c r="L5" t="str">
        <v>4</v>
      </c>
      <c r="M5" t="str">
        <v>2000</v>
      </c>
    </row>
    <row r="6" spans="1:1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3" t="s">
        <v>57</v>
      </c>
      <c r="I6" s="3" t="s">
        <v>58</v>
      </c>
      <c r="J6" s="1" t="s">
        <v>59</v>
      </c>
      <c r="K6" t="str">
        <v>Tob</v>
      </c>
      <c r="L6" t="str">
        <v>5</v>
      </c>
      <c r="M6" t="str">
        <v>2001</v>
      </c>
    </row>
    <row r="7" spans="1:1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3" t="s">
        <v>57</v>
      </c>
      <c r="I7" s="3" t="s">
        <v>60</v>
      </c>
      <c r="J7" s="1" t="s">
        <v>61</v>
      </c>
      <c r="K7" t="str">
        <v>Mic</v>
      </c>
      <c r="L7" t="str">
        <v>6</v>
      </c>
      <c r="M7" t="str">
        <v>2001</v>
      </c>
    </row>
    <row r="8" spans="1:1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3" t="s">
        <v>62</v>
      </c>
      <c r="I8" s="3" t="s">
        <v>60</v>
      </c>
      <c r="J8" s="1" t="s">
        <v>63</v>
      </c>
      <c r="K8" t="str">
        <v>Mer</v>
      </c>
      <c r="L8" t="str">
        <v>7</v>
      </c>
      <c r="M8" t="str">
        <v>2003</v>
      </c>
    </row>
    <row r="9" spans="1:1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3" t="s">
        <v>64</v>
      </c>
      <c r="I9" s="3" t="s">
        <v>65</v>
      </c>
      <c r="J9" s="1" t="s">
        <v>66</v>
      </c>
      <c r="K9" t="str">
        <v>Sta</v>
      </c>
      <c r="L9" t="str">
        <v>8</v>
      </c>
      <c r="M9" t="str">
        <v>2002</v>
      </c>
    </row>
    <row r="10" spans="1:1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3" t="s">
        <v>67</v>
      </c>
      <c r="I10" s="3" t="s">
        <v>65</v>
      </c>
      <c r="J10" s="1" t="s">
        <v>68</v>
      </c>
      <c r="K10" t="str">
        <v>Kev</v>
      </c>
      <c r="L10" t="str">
        <v>9</v>
      </c>
      <c r="M10" t="str">
        <v>2003</v>
      </c>
    </row>
    <row r="20" spans="12:12" ht="15">
      <c r="L20" s="6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Q21"/>
  <sheetViews>
    <sheetView topLeftCell="G1" workbookViewId="0">
      <selection activeCell="L21" sqref="L21"/>
    </sheetView>
  </sheetViews>
  <sheetFormatPr defaultColWidth="13.7109375" defaultRowHeight="14.45"/>
  <cols>
    <col min="1" max="1" width="10.7109375" bestFit="1" customWidth="1"/>
    <col min="4" max="4" width="7.7109375" customWidth="1"/>
    <col min="12" max="12" width="23.28515625" bestFit="1" customWidth="1"/>
    <col min="13" max="13" width="18.855468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69</v>
      </c>
    </row>
    <row r="2" spans="1:17" ht="15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t="str" cm="1">
        <f t="array" ref="J2:J10">TEXT(H2:H10,"dd/mm/yyy")</f>
        <v>02/11/2001</v>
      </c>
      <c r="K2" s="3"/>
      <c r="L2" s="1">
        <v>37197</v>
      </c>
      <c r="M2" s="2" t="str">
        <f>RIGHT(L2)</f>
        <v>7</v>
      </c>
    </row>
    <row r="3" spans="1:17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t="str">
        <v>03/10/1999</v>
      </c>
      <c r="K3" s="3"/>
      <c r="L3" s="1">
        <v>36436</v>
      </c>
      <c r="M3" s="2"/>
    </row>
    <row r="4" spans="1:17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v>04/07/2000</v>
      </c>
      <c r="K4" s="3"/>
      <c r="L4" s="1">
        <v>36711</v>
      </c>
      <c r="M4" s="2"/>
    </row>
    <row r="5" spans="1:17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v>05/01/2000</v>
      </c>
      <c r="K5" s="3"/>
      <c r="L5" s="1">
        <v>36530</v>
      </c>
      <c r="M5" s="2"/>
      <c r="Q5" s="2"/>
    </row>
    <row r="6" spans="1:17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v>06/05/2001</v>
      </c>
      <c r="K6" s="3"/>
      <c r="L6" s="1">
        <v>37017</v>
      </c>
      <c r="M6" s="2"/>
    </row>
    <row r="7" spans="1:17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v>07/12/1995</v>
      </c>
      <c r="K7" s="3"/>
      <c r="L7" s="1">
        <v>35040</v>
      </c>
      <c r="M7" s="2"/>
    </row>
    <row r="8" spans="1:17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3"/>
      <c r="L8" s="1">
        <v>37933</v>
      </c>
      <c r="M8" s="2"/>
    </row>
    <row r="9" spans="1:17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v>09/06/2002</v>
      </c>
      <c r="K9" s="3"/>
      <c r="L9" s="1">
        <v>37416</v>
      </c>
      <c r="M9" s="2"/>
    </row>
    <row r="10" spans="1:17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v>10/08/2003</v>
      </c>
      <c r="K10" s="3"/>
      <c r="L10" s="1">
        <v>37843</v>
      </c>
      <c r="M10" s="2"/>
    </row>
    <row r="12" spans="1:17">
      <c r="H12" s="1"/>
    </row>
    <row r="13" spans="1:17">
      <c r="H13" s="3"/>
    </row>
    <row r="21" spans="12:12" ht="15">
      <c r="L21" s="6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M21"/>
  <sheetViews>
    <sheetView topLeftCell="H1" workbookViewId="0">
      <selection activeCell="M21" sqref="M21"/>
    </sheetView>
  </sheetViews>
  <sheetFormatPr defaultColWidth="13.7109375" defaultRowHeight="14.45"/>
  <cols>
    <col min="1" max="1" width="10.7109375" bestFit="1" customWidth="1"/>
    <col min="4" max="4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70</v>
      </c>
      <c r="K1" t="s">
        <v>71</v>
      </c>
    </row>
    <row r="2" spans="1:11">
      <c r="A2">
        <v>1001</v>
      </c>
      <c r="B2" s="3" t="s">
        <v>11</v>
      </c>
      <c r="C2" s="3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>
      <c r="A3">
        <v>1002</v>
      </c>
      <c r="B3" s="3" t="s">
        <v>15</v>
      </c>
      <c r="C3" s="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t="str">
        <v>Beasley</v>
      </c>
    </row>
    <row r="4" spans="1:11">
      <c r="A4">
        <v>1003</v>
      </c>
      <c r="B4" s="3" t="s">
        <v>19</v>
      </c>
      <c r="C4" s="3" t="s">
        <v>72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v>Schrute</v>
      </c>
    </row>
    <row r="5" spans="1:11">
      <c r="A5">
        <v>1004</v>
      </c>
      <c r="B5" s="3" t="s">
        <v>21</v>
      </c>
      <c r="C5" s="3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v>Martin</v>
      </c>
    </row>
    <row r="6" spans="1:11">
      <c r="A6">
        <v>1005</v>
      </c>
      <c r="B6" s="3" t="s">
        <v>24</v>
      </c>
      <c r="C6" s="3" t="s">
        <v>73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v>Flenderson</v>
      </c>
    </row>
    <row r="7" spans="1:11">
      <c r="A7">
        <v>1006</v>
      </c>
      <c r="B7" s="3" t="s">
        <v>27</v>
      </c>
      <c r="C7" s="3" t="s">
        <v>74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v>Scott</v>
      </c>
    </row>
    <row r="8" spans="1:11">
      <c r="A8">
        <v>1007</v>
      </c>
      <c r="B8" s="3" t="s">
        <v>30</v>
      </c>
      <c r="C8" s="3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>
      <c r="A9">
        <v>1008</v>
      </c>
      <c r="B9" s="3" t="s">
        <v>33</v>
      </c>
      <c r="C9" s="3" t="s">
        <v>75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v>Hudson</v>
      </c>
    </row>
    <row r="10" spans="1:11">
      <c r="A10">
        <v>1009</v>
      </c>
      <c r="B10" s="3" t="s">
        <v>35</v>
      </c>
      <c r="C10" s="3" t="s">
        <v>76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v>Malone</v>
      </c>
    </row>
    <row r="21" spans="13:13" ht="15">
      <c r="M21" s="6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4"/>
  <sheetViews>
    <sheetView topLeftCell="G6" workbookViewId="0">
      <selection activeCell="L24" sqref="L24"/>
    </sheetView>
  </sheetViews>
  <sheetFormatPr defaultColWidth="13.7109375" defaultRowHeight="14.45"/>
  <cols>
    <col min="1" max="1" width="10.7109375" bestFit="1" customWidth="1"/>
    <col min="4" max="4" width="7.7109375" customWidth="1"/>
    <col min="7" max="7" width="13.7109375" style="2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77</v>
      </c>
      <c r="K1" t="s">
        <v>78</v>
      </c>
      <c r="L1" t="s">
        <v>79</v>
      </c>
    </row>
    <row r="2" spans="1:12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 s="2">
        <v>45000</v>
      </c>
      <c r="H2" s="3" t="s">
        <v>45</v>
      </c>
      <c r="I2" s="3" t="s">
        <v>46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+SUBSTITUTE(H2:H10,"/","-")</f>
        <v>11-2-2001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 s="2">
        <v>36000</v>
      </c>
      <c r="H3" s="3" t="s">
        <v>48</v>
      </c>
      <c r="I3" s="3" t="s">
        <v>49</v>
      </c>
      <c r="J3" t="str">
        <v>10-3/1999</v>
      </c>
      <c r="K3" t="str">
        <v>10/3-1999</v>
      </c>
      <c r="L3" t="str">
        <v>10-3-1999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 s="2">
        <v>63000</v>
      </c>
      <c r="H4" s="3" t="s">
        <v>51</v>
      </c>
      <c r="I4" s="3" t="s">
        <v>52</v>
      </c>
      <c r="J4" t="str">
        <v>7-4/2000</v>
      </c>
      <c r="K4" t="str">
        <v>7/4-2000</v>
      </c>
      <c r="L4" t="str">
        <v>7-4-2000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 s="2">
        <v>47000</v>
      </c>
      <c r="H5" s="3" t="s">
        <v>80</v>
      </c>
      <c r="I5" s="3" t="s">
        <v>81</v>
      </c>
      <c r="J5" t="str">
        <v>1-5-2000</v>
      </c>
      <c r="K5" t="str">
        <v>1-5-2000</v>
      </c>
      <c r="L5" t="str">
        <v>1-5-2000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 s="2">
        <v>50000</v>
      </c>
      <c r="H6" s="3" t="s">
        <v>57</v>
      </c>
      <c r="I6" s="3" t="s">
        <v>58</v>
      </c>
      <c r="J6" t="str">
        <v>5-6/2001</v>
      </c>
      <c r="K6" t="str">
        <v>5/6-2001</v>
      </c>
      <c r="L6" t="str">
        <v>5-6-2001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 s="2">
        <v>65000</v>
      </c>
      <c r="H7" s="3" t="s">
        <v>57</v>
      </c>
      <c r="I7" s="3" t="s">
        <v>60</v>
      </c>
      <c r="J7" t="str">
        <v>5-6/2001</v>
      </c>
      <c r="K7" t="str">
        <v>5/6-2001</v>
      </c>
      <c r="L7" t="str">
        <v>5-6-2001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 s="2">
        <v>41000</v>
      </c>
      <c r="H8" s="3" t="s">
        <v>62</v>
      </c>
      <c r="I8" s="3" t="s">
        <v>60</v>
      </c>
      <c r="J8" t="str">
        <v>11-8/2003</v>
      </c>
      <c r="K8" t="str">
        <v>11/8-2003</v>
      </c>
      <c r="L8" t="str">
        <v>11-8-2003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 s="2">
        <v>48000</v>
      </c>
      <c r="H9" s="3" t="s">
        <v>64</v>
      </c>
      <c r="I9" s="3" t="s">
        <v>65</v>
      </c>
      <c r="J9" t="str">
        <v>6-9/2002</v>
      </c>
      <c r="K9" t="str">
        <v>6/9-2002</v>
      </c>
      <c r="L9" t="str">
        <v>6-9-2002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 s="2">
        <v>42000</v>
      </c>
      <c r="H10" s="3" t="s">
        <v>67</v>
      </c>
      <c r="I10" s="3" t="s">
        <v>65</v>
      </c>
      <c r="J10" t="str">
        <v>8-10/2003</v>
      </c>
      <c r="K10" t="str">
        <v>8/10-2003</v>
      </c>
      <c r="L10" t="str">
        <v>8-10-2003</v>
      </c>
    </row>
    <row r="12" spans="1:12">
      <c r="H12" s="3"/>
      <c r="I12" s="3"/>
    </row>
    <row r="13" spans="1:12">
      <c r="H13" s="3"/>
      <c r="I13" s="3"/>
    </row>
    <row r="14" spans="1:12">
      <c r="H14" s="3"/>
      <c r="I14" s="3"/>
    </row>
    <row r="15" spans="1:12">
      <c r="H15" s="3"/>
      <c r="I15" s="3"/>
    </row>
    <row r="16" spans="1:12">
      <c r="H16" s="3"/>
      <c r="I16" s="3"/>
    </row>
    <row r="17" spans="8:12">
      <c r="H17" s="3"/>
      <c r="I17" s="3"/>
    </row>
    <row r="18" spans="8:12">
      <c r="H18" s="3"/>
      <c r="I18" s="3"/>
    </row>
    <row r="19" spans="8:12">
      <c r="H19" s="3"/>
      <c r="I19" s="3"/>
    </row>
    <row r="20" spans="8:12">
      <c r="H20" s="3"/>
      <c r="I20" s="3"/>
    </row>
    <row r="24" spans="8:12" ht="15">
      <c r="L24" s="6" t="s">
        <v>37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9"/>
  <sheetViews>
    <sheetView topLeftCell="B1" workbookViewId="0">
      <selection activeCell="G19" sqref="G19"/>
    </sheetView>
  </sheetViews>
  <sheetFormatPr defaultColWidth="13" defaultRowHeight="14.45"/>
  <cols>
    <col min="11" max="11" width="22.28515625" bestFit="1" customWidth="1"/>
    <col min="12" max="12" width="36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82</v>
      </c>
      <c r="K1" t="s">
        <v>83</v>
      </c>
      <c r="L1" t="s">
        <v>84</v>
      </c>
    </row>
    <row r="2" spans="1:12" ht="30.75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 s="4">
        <f>SUMIFS(G2:G10,E2:E10,"Female",D2:D10,"&gt;30")</f>
        <v>88000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</row>
    <row r="19" spans="7:7" ht="15">
      <c r="G19" s="6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8"/>
  <sheetViews>
    <sheetView workbookViewId="0">
      <selection activeCell="G18" sqref="G18"/>
    </sheetView>
  </sheetViews>
  <sheetFormatPr defaultColWidth="13.7109375" defaultRowHeight="14.45"/>
  <cols>
    <col min="1" max="1" width="10.7109375" bestFit="1" customWidth="1"/>
    <col min="4" max="4" width="7.7109375" customWidth="1"/>
    <col min="11" max="11" width="24.85546875" bestFit="1" customWidth="1"/>
    <col min="12" max="12" width="36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85</v>
      </c>
      <c r="K1" t="s">
        <v>86</v>
      </c>
      <c r="L1" t="s">
        <v>87</v>
      </c>
    </row>
    <row r="2" spans="1:12" ht="30.75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 s="4">
        <f>COUNTIFS(A2:A10,"&gt;1005",E2:E10,"Male")</f>
        <v>3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</row>
    <row r="18" spans="7:7" ht="15">
      <c r="G18" s="6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20"/>
  <sheetViews>
    <sheetView topLeftCell="H1" workbookViewId="0">
      <selection activeCell="K20" sqref="K20"/>
    </sheetView>
  </sheetViews>
  <sheetFormatPr defaultRowHeight="14.4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3" bestFit="1" customWidth="1"/>
    <col min="11" max="11" width="36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88</v>
      </c>
    </row>
    <row r="2" spans="1:11" ht="15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s="4" t="str">
        <f>LOWER(CONCATENATE(B2,".",C2,"@gmail.com"))</f>
        <v>jim.halpert@gmail.com</v>
      </c>
    </row>
    <row r="3" spans="1:11" ht="15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s="4" t="str">
        <f t="shared" ref="K3:K10" si="1">LOWER(CONCATENATE(B3,".",C3,"@gmail.com"))</f>
        <v>pam.beasley@gmail.com</v>
      </c>
    </row>
    <row r="4" spans="1:11" ht="15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s="4" t="str">
        <f t="shared" si="1"/>
        <v>dwight.schrute@gmail.com</v>
      </c>
    </row>
    <row r="5" spans="1:11" ht="15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s="4" t="str">
        <f t="shared" si="1"/>
        <v>angela.martin@gmail.com</v>
      </c>
    </row>
    <row r="6" spans="1:11" ht="15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s="4" t="str">
        <f t="shared" si="1"/>
        <v>toby.flenderson@gmail.com</v>
      </c>
    </row>
    <row r="7" spans="1:11" ht="15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s="4" t="str">
        <f t="shared" si="1"/>
        <v>michael.scott@gmail.com</v>
      </c>
    </row>
    <row r="8" spans="1:11" ht="15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s="4" t="str">
        <f t="shared" si="1"/>
        <v>meredith.palmer@gmail.com</v>
      </c>
    </row>
    <row r="9" spans="1:11" ht="15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s="4" t="str">
        <f t="shared" si="1"/>
        <v>stanley.hudson@gmail.com</v>
      </c>
    </row>
    <row r="10" spans="1:11" ht="15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s="4" t="str">
        <f t="shared" si="1"/>
        <v>kevin.malone@gmail.com</v>
      </c>
    </row>
    <row r="11" spans="1:11">
      <c r="H11" t="str">
        <f t="shared" ref="H3:H12" si="2">CONCATENATE(B11," ",C11)</f>
        <v xml:space="preserve"> </v>
      </c>
    </row>
    <row r="12" spans="1:11">
      <c r="H12" t="str">
        <f t="shared" si="2"/>
        <v xml:space="preserve"> </v>
      </c>
    </row>
    <row r="20" spans="11:11" ht="15">
      <c r="K20" s="6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P21"/>
  <sheetViews>
    <sheetView tabSelected="1" topLeftCell="H1" workbookViewId="0">
      <selection activeCell="H10" sqref="H10"/>
    </sheetView>
  </sheetViews>
  <sheetFormatPr defaultRowHeight="14.45"/>
  <cols>
    <col min="8" max="8" width="14.42578125" customWidth="1"/>
    <col min="9" max="9" width="13.2851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89</v>
      </c>
      <c r="K1" t="s">
        <v>90</v>
      </c>
    </row>
    <row r="2" spans="1:11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 s="2">
        <v>45000</v>
      </c>
      <c r="H2" s="3" t="s">
        <v>45</v>
      </c>
      <c r="I2" s="3" t="s">
        <v>46</v>
      </c>
      <c r="J2">
        <f>_xlfn.DAYS(I2,H2)</f>
        <v>5056</v>
      </c>
      <c r="K2">
        <f>NETWORKDAYS(H2,I2)</f>
        <v>3611</v>
      </c>
    </row>
    <row r="3" spans="1:11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 s="2">
        <v>36000</v>
      </c>
      <c r="H3" s="3" t="s">
        <v>48</v>
      </c>
      <c r="I3" s="3" t="s">
        <v>49</v>
      </c>
      <c r="J3">
        <f t="shared" ref="J3:J10" si="0">_xlfn.DAYS(I3,H3)</f>
        <v>5851</v>
      </c>
      <c r="K3">
        <f t="shared" ref="K3:K10" si="1">NETWORKDAYS(H3,I3)</f>
        <v>4180</v>
      </c>
    </row>
    <row r="4" spans="1:11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 s="2">
        <v>63000</v>
      </c>
      <c r="H4" s="3" t="s">
        <v>51</v>
      </c>
      <c r="I4" s="3" t="s">
        <v>52</v>
      </c>
      <c r="J4">
        <f t="shared" si="0"/>
        <v>6275</v>
      </c>
      <c r="K4">
        <f t="shared" si="1"/>
        <v>4484</v>
      </c>
    </row>
    <row r="5" spans="1:11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 s="2">
        <v>47000</v>
      </c>
      <c r="H5" s="3" t="s">
        <v>54</v>
      </c>
      <c r="I5" s="3" t="s">
        <v>55</v>
      </c>
      <c r="J5">
        <f t="shared" si="0"/>
        <v>5811</v>
      </c>
      <c r="K5">
        <f t="shared" si="1"/>
        <v>4152</v>
      </c>
    </row>
    <row r="6" spans="1:11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 s="2">
        <v>50000</v>
      </c>
      <c r="H6" s="3" t="s">
        <v>57</v>
      </c>
      <c r="I6" s="3" t="s">
        <v>58</v>
      </c>
      <c r="J6">
        <f t="shared" si="0"/>
        <v>5960</v>
      </c>
      <c r="K6">
        <f t="shared" si="1"/>
        <v>4258</v>
      </c>
    </row>
    <row r="7" spans="1:11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 s="2">
        <v>65000</v>
      </c>
      <c r="H7" s="3" t="s">
        <v>57</v>
      </c>
      <c r="I7" s="3" t="s">
        <v>60</v>
      </c>
      <c r="J7">
        <f t="shared" si="0"/>
        <v>4511</v>
      </c>
      <c r="K7">
        <f t="shared" si="1"/>
        <v>3223</v>
      </c>
    </row>
    <row r="8" spans="1:11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 s="2">
        <v>41000</v>
      </c>
      <c r="H8" s="3" t="s">
        <v>62</v>
      </c>
      <c r="I8" s="3" t="s">
        <v>60</v>
      </c>
      <c r="J8">
        <f t="shared" si="0"/>
        <v>3595</v>
      </c>
      <c r="K8">
        <f t="shared" si="1"/>
        <v>2568</v>
      </c>
    </row>
    <row r="9" spans="1:11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 s="2">
        <v>48000</v>
      </c>
      <c r="H9" s="3" t="s">
        <v>64</v>
      </c>
      <c r="I9" s="3" t="s">
        <v>65</v>
      </c>
      <c r="J9">
        <f t="shared" si="0"/>
        <v>4700</v>
      </c>
      <c r="K9">
        <f>NETWORKDAYS(H9,I9)</f>
        <v>3358</v>
      </c>
    </row>
    <row r="10" spans="1:11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 s="2">
        <v>42000</v>
      </c>
      <c r="H10" s="3" t="s">
        <v>67</v>
      </c>
      <c r="I10" s="3" t="s">
        <v>65</v>
      </c>
      <c r="J10">
        <f t="shared" si="0"/>
        <v>4273</v>
      </c>
      <c r="K10">
        <f>NETWORKDAYS(H10,I10)</f>
        <v>3053</v>
      </c>
    </row>
    <row r="21" spans="16:16" ht="15">
      <c r="P21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>MD SHORIFUL ALAM ROBIN</cp:lastModifiedBy>
  <cp:revision/>
  <dcterms:created xsi:type="dcterms:W3CDTF">2021-12-16T14:18:34Z</dcterms:created>
  <dcterms:modified xsi:type="dcterms:W3CDTF">2026-05-13T19:08:40Z</dcterms:modified>
  <cp:category/>
  <cp:contentStatus/>
</cp:coreProperties>
</file>